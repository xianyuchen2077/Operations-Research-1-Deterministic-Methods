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solver_adj" localSheetId="0" hidden="1">Sheet1!$C$12:$E$13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Sheet1!$C$12:$E$12</definedName>
    <definedName name="solver_lhs10" localSheetId="0" hidden="1">Sheet1!$H$13</definedName>
    <definedName name="solver_lhs2" localSheetId="0" hidden="1">Sheet1!$C$13</definedName>
    <definedName name="solver_lhs3" localSheetId="0" hidden="1">Sheet1!$C$13</definedName>
    <definedName name="solver_lhs4" localSheetId="0" hidden="1">Sheet1!$C$13:$E$13</definedName>
    <definedName name="solver_lhs5" localSheetId="0" hidden="1">Sheet1!$C$13:$E$13</definedName>
    <definedName name="solver_lhs6" localSheetId="0" hidden="1">Sheet1!$D$13</definedName>
    <definedName name="solver_lhs7" localSheetId="0" hidden="1">Sheet1!$D$13</definedName>
    <definedName name="solver_lhs8" localSheetId="0" hidden="1">Sheet1!$E$13</definedName>
    <definedName name="solver_lhs9" localSheetId="0" hidden="1">Sheet1!$E$13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Sheet1!$B$16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10" localSheetId="0" hidden="1">2</definedName>
    <definedName name="solver_rel2" localSheetId="0" hidden="1">1</definedName>
    <definedName name="solver_rel3" localSheetId="0" hidden="1">3</definedName>
    <definedName name="solver_rel4" localSheetId="0" hidden="1">4</definedName>
    <definedName name="solver_rel5" localSheetId="0" hidden="1">3</definedName>
    <definedName name="solver_rel6" localSheetId="0" hidden="1">1</definedName>
    <definedName name="solver_rel7" localSheetId="0" hidden="1">3</definedName>
    <definedName name="solver_rel8" localSheetId="0" hidden="1">1</definedName>
    <definedName name="solver_rel9" localSheetId="0" hidden="1">3</definedName>
    <definedName name="solver_rhs1" localSheetId="0" hidden="1">"二进制"</definedName>
    <definedName name="solver_rhs10" localSheetId="0" hidden="1">Sheet1!$B$9</definedName>
    <definedName name="solver_rhs2" localSheetId="0" hidden="1">Sheet1!$C$6*Sheet1!$C$12</definedName>
    <definedName name="solver_rhs3" localSheetId="0" hidden="1">Sheet1!$C$7*Sheet1!$C$12</definedName>
    <definedName name="solver_rhs4" localSheetId="0" hidden="1">"整数"</definedName>
    <definedName name="solver_rhs5" localSheetId="0" hidden="1">0</definedName>
    <definedName name="solver_rhs6" localSheetId="0" hidden="1">Sheet1!$D$6*Sheet1!$D$12</definedName>
    <definedName name="solver_rhs7" localSheetId="0" hidden="1">Sheet1!$D$7*Sheet1!$D$12</definedName>
    <definedName name="solver_rhs8" localSheetId="0" hidden="1">Sheet1!$E$6*Sheet1!$E$12</definedName>
    <definedName name="solver_rhs9" localSheetId="0" hidden="1">Sheet1!$E$7*Sheet1!$E$12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<sst xmlns="http://schemas.openxmlformats.org/spreadsheetml/2006/main" count="18" uniqueCount="18">
  <si>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State University</t>
  </si>
  <si>
    <t>Data</t>
  </si>
  <si>
    <t>Vendor 1</t>
  </si>
  <si>
    <t>Vendor 2</t>
  </si>
  <si>
    <t>Vendor 3</t>
  </si>
  <si>
    <t>Cost</t>
  </si>
  <si>
    <t>cost per computer</t>
  </si>
  <si>
    <t>cost of delivery</t>
  </si>
  <si>
    <t>Quantities Ordered</t>
  </si>
  <si>
    <t>maximum order quantity</t>
  </si>
  <si>
    <t>minimum order quantity</t>
  </si>
  <si>
    <t>total demand</t>
  </si>
  <si>
    <t>Decision</t>
  </si>
  <si>
    <t>whether to order</t>
  </si>
  <si>
    <t>quantities ordered</t>
  </si>
  <si>
    <t>toatl quantities</t>
  </si>
  <si>
    <t>Solution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</si>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</sst>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0" borderId="0" xfId="0" applyFont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B19" sqref="B19"/>
    </sheetView>
  </sheetViews>
  <sheetFormatPr defaultColWidth="9" defaultRowHeight="14.4" outlineLevelCol="7"/>
  <cols>
    <col min="1" max="1" width="21.7777777777778" customWidth="1"/>
    <col min="2" max="2" width="23.7777777777778" customWidth="1"/>
    <col min="7" max="7" width="17.8888888888889" customWidth="1"/>
  </cols>
  <sheetData>
    <row r="1" spans="1:8">
      <c r="A1" s="1" t="s">
        <v>0</v>
      </c>
      <c r="B1" s="1"/>
      <c r="C1" s="1"/>
    </row>
    <row r="2" spans="1:8">
      <c r="A2" s="2" t="s">
        <v>1</v>
      </c>
      <c r="B2" s="2"/>
      <c r="C2" s="2"/>
      <c r="D2" s="2"/>
      <c r="E2" s="2"/>
    </row>
    <row r="3" spans="1:8">
      <c r="A3" s="3"/>
      <c r="B3" s="3"/>
      <c r="C3" s="3" t="s">
        <v>2</v>
      </c>
      <c r="D3" s="3" t="s">
        <v>3</v>
      </c>
      <c r="E3" s="3" t="s">
        <v>4</v>
      </c>
    </row>
    <row r="4" spans="1:8">
      <c r="A4" s="4" t="s">
        <v>5</v>
      </c>
      <c r="B4" s="3" t="s">
        <v>6</v>
      </c>
      <c r="C4" s="5">
        <v>500</v>
      </c>
      <c r="D4" s="5">
        <v>350</v>
      </c>
      <c r="E4" s="5">
        <v>250</v>
      </c>
    </row>
    <row r="5" spans="1:8">
      <c r="A5" s="6"/>
      <c r="B5" s="3" t="s">
        <v>7</v>
      </c>
      <c r="C5" s="5">
        <v>5000</v>
      </c>
      <c r="D5" s="5">
        <v>4000</v>
      </c>
      <c r="E5" s="5">
        <v>6000</v>
      </c>
    </row>
    <row r="6" spans="1:8">
      <c r="A6" s="4" t="s">
        <v>8</v>
      </c>
      <c r="B6" s="3" t="s">
        <v>9</v>
      </c>
      <c r="C6" s="5">
        <v>500</v>
      </c>
      <c r="D6" s="5">
        <v>900</v>
      </c>
      <c r="E6" s="5">
        <v>400</v>
      </c>
    </row>
    <row r="7" spans="1:8">
      <c r="A7" s="6"/>
      <c r="B7" s="3" t="s">
        <v>10</v>
      </c>
      <c r="C7" s="5">
        <v>200</v>
      </c>
      <c r="D7" s="5">
        <v>200</v>
      </c>
      <c r="E7" s="5">
        <v>200</v>
      </c>
    </row>
    <row r="9" spans="1:8">
      <c r="A9" t="s">
        <v>11</v>
      </c>
      <c r="B9" s="7">
        <v>1100</v>
      </c>
    </row>
    <row r="11" spans="1:8">
      <c r="A11" s="2" t="s">
        <v>12</v>
      </c>
      <c r="B11" s="2"/>
      <c r="C11" s="2"/>
      <c r="D11" s="2"/>
      <c r="E11" s="2"/>
    </row>
    <row r="12" spans="1:8">
      <c r="A12" s="8" t="s">
        <v>13</v>
      </c>
      <c r="B12" s="8"/>
      <c r="C12" s="9">
        <v>0</v>
      </c>
      <c r="D12" s="9">
        <v>1</v>
      </c>
      <c r="E12" s="9">
        <v>1</v>
      </c>
      <c r="G12" s="10"/>
    </row>
    <row r="13" spans="1:8">
      <c r="A13" s="8" t="s">
        <v>14</v>
      </c>
      <c r="B13" s="8"/>
      <c r="C13" s="9">
        <v>0</v>
      </c>
      <c r="D13" s="9">
        <v>700</v>
      </c>
      <c r="E13" s="9">
        <v>400</v>
      </c>
      <c r="G13" s="10" t="s">
        <v>15</v>
      </c>
      <c r="H13" s="9">
        <f>C13+D13+E13</f>
        <v>1100</v>
      </c>
    </row>
    <row r="15" spans="1:8">
      <c r="A15" s="2" t="s">
        <v>16</v>
      </c>
      <c r="B15" s="2"/>
      <c r="C15" s="2"/>
      <c r="D15" s="2"/>
      <c r="E15" s="2"/>
    </row>
    <row r="16" spans="1:8">
      <c r="A16" t="s">
        <v>17</v>
      </c>
      <c r="B16" s="11">
        <f>C4*C13+D4*D13+E4*E13+C5*C12+D5*D12+E5*E12</f>
        <v>355000</v>
      </c>
    </row>
  </sheetData>
  <mergeCells count="8">
    <mergeCell ref="A1:C1"/>
    <mergeCell ref="A2:E2"/>
    <mergeCell ref="A11:E11"/>
    <mergeCell ref="A12:B12"/>
    <mergeCell ref="A13:B13"/>
    <mergeCell ref="A15:E15"/>
    <mergeCell ref="A4:A5"/>
    <mergeCell ref="A6:A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宋钧亭(2024013293)</cp:lastModifiedBy>
  <dcterms:created xsi:type="dcterms:W3CDTF">2023-05-12T11:15:00Z</dcterms:created>
  <dcterms:modified xsi:type="dcterms:W3CDTF">2025-12-01T07:07:39Z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B8AF6F76F1E84F2091CD1B99AED53F14_12</vt:lpwstr>
  </property>
</Properties>
</file>
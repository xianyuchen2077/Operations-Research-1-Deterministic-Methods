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3"/>
  </bookViews>
  <sheets>
    <sheet name="Solution_Solver" sheetId="1" r:id="rId1"/>
    <sheet name="运算结果报告" sheetId="2" r:id="rId2"/>
    <sheet name="敏感性报告" sheetId="3" r:id="rId3"/>
    <sheet name="极限值报告" sheetId="4" r:id="rId4"/>
  </sheets>
  <definedNames>
    <definedName name="solver_opt" localSheetId="0" hidden="1">Solution_Solver!$B$4</definedName>
    <definedName name="solver_typ" localSheetId="0" hidden="1">1</definedName>
    <definedName name="solver_val" localSheetId="0" hidden="1">0</definedName>
    <definedName name="solver_adj" localSheetId="0" hidden="1">Solution_Solver!$B$2:$C$2</definedName>
    <definedName name="solver_neg" localSheetId="0" hidden="1">1</definedName>
    <definedName name="solver_num" localSheetId="0" hidden="1">5</definedName>
    <definedName name="solver_lin" localSheetId="0" hidden="1">1</definedName>
    <definedName name="solver_eng" localSheetId="0" hidden="1">2</definedName>
    <definedName name="solver_ver" localSheetId="0" hidden="1">3</definedName>
    <definedName name="solver_lhs1" localSheetId="0" hidden="1">Solution_Solver!$B$10</definedName>
    <definedName name="solver_rel1" localSheetId="0" hidden="1">1</definedName>
    <definedName name="solver_rhs1" localSheetId="0" hidden="1">Solution_Solver!$D$10</definedName>
    <definedName name="solver_lhs2" localSheetId="0" hidden="1">Solution_Solver!$B$11</definedName>
    <definedName name="solver_rel2" localSheetId="0" hidden="1">1</definedName>
    <definedName name="solver_rhs2" localSheetId="0" hidden="1">Solution_Solver!$D$11</definedName>
    <definedName name="solver_lhs3" localSheetId="0" hidden="1">Solution_Solver!$B$12</definedName>
    <definedName name="solver_rel3" localSheetId="0" hidden="1">1</definedName>
    <definedName name="solver_rhs3" localSheetId="0" hidden="1">Solution_Solver!$D$12</definedName>
    <definedName name="solver_lhs4" localSheetId="0" hidden="1">Solution_Solver!$B$13</definedName>
    <definedName name="solver_rel4" localSheetId="0" hidden="1">3</definedName>
    <definedName name="solver_rhs4" localSheetId="0" hidden="1">Solution_Solver!$D$13</definedName>
    <definedName name="solver_lhs5" localSheetId="0" hidden="1">Solution_Solver!$B$14</definedName>
    <definedName name="solver_rel5" localSheetId="0" hidden="1">3</definedName>
    <definedName name="solver_rhs5" localSheetId="0" hidden="1">Solution_Solver!$D$14</definedName>
    <definedName name="solver_pre" localSheetId="0" hidden="1">0.000001</definedName>
    <definedName name="solver_itr" localSheetId="0" hidden="1">0</definedName>
    <definedName name="solver_tim" localSheetId="0" hidden="1">0</definedName>
    <definedName name="solver_tol" localSheetId="0" hidden="1">0.01</definedName>
    <definedName name="solver_sho" localSheetId="0" hidden="1">0</definedName>
    <definedName name="solver_rlx" localSheetId="0" hidden="1">0</definedName>
    <definedName name="solver_nod" localSheetId="0" hidden="1">0</definedName>
    <definedName name="solver_mip" localSheetId="0" hidden="1">0</definedName>
    <definedName name="solver_scl" localSheetId="0" hidden="1">1</definedName>
    <definedName name="solver_cvg" localSheetId="0" hidden="1">0.0001</definedName>
    <definedName name="solver_drv" localSheetId="0" hidden="1">1</definedName>
    <definedName name="solver_msl" localSheetId="0" hidden="1">0</definedName>
    <definedName name="solver_ssz" localSheetId="0" hidden="1">100</definedName>
    <definedName name="solver_rsd" localSheetId="0" hidden="1">0</definedName>
    <definedName name="solver_rbv" localSheetId="0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<sst xmlns="http://schemas.openxmlformats.org/spreadsheetml/2006/main" count="144" uniqueCount="79">
  <si>
    <t>Product1</t>
  </si>
  <si>
    <t>Product2</t>
  </si>
  <si>
    <t>Number of product</t>
  </si>
  <si>
    <t>Profit per unit</t>
  </si>
  <si>
    <t>Total profit</t>
  </si>
  <si>
    <t xml:space="preserve">Materials used per unit produced </t>
  </si>
  <si>
    <t>Frame parts</t>
  </si>
  <si>
    <t>Electrical components</t>
  </si>
  <si>
    <t>Limitations</t>
  </si>
  <si>
    <t xml:space="preserve">Frame parts used in total </t>
  </si>
  <si>
    <t>&lt;=</t>
  </si>
  <si>
    <t xml:space="preserve">Electrical components used in total </t>
  </si>
  <si>
    <t>Number of product2</t>
  </si>
  <si>
    <t>Number of product1</t>
  </si>
  <si>
    <t>&gt;=</t>
  </si>
  <si>
    <t>WPS Office 运算结果报告</t>
  </si>
  <si>
    <t>工作表: [problem_1b.xlsx]Solution_Solver</t>
  </si>
  <si>
    <t>报告的建立: 10/7/2025 3:30:52 PM</t>
  </si>
  <si>
    <t>结果: 规划求解找到一解，可满足所有的约束及最优状况。</t>
  </si>
  <si>
    <t>规划求解引擎</t>
  </si>
  <si>
    <t>引擎: 单纯线性规划</t>
  </si>
  <si>
    <t>求解时间: 0.009 秒.</t>
  </si>
  <si>
    <t>迭代次数: 6 子问题: 0</t>
  </si>
  <si>
    <t>规划求解选项</t>
  </si>
  <si>
    <t>最大时间 无限制, 迭代 无限制, 使用自动缩放</t>
  </si>
  <si>
    <t>最大子问题数目 无限制, 最大整数解数目 无限制, 整数允许误差1%, 无整数约束的求解, 假设为非负数</t>
  </si>
  <si>
    <t>目标单元格 (最大值)</t>
  </si>
  <si>
    <t>单元格</t>
  </si>
  <si>
    <t>名称</t>
  </si>
  <si>
    <t>初值</t>
  </si>
  <si>
    <t>终值</t>
  </si>
  <si>
    <t>$B$4</t>
  </si>
  <si>
    <t>Total profit Product1</t>
  </si>
  <si>
    <t>可变单元格</t>
  </si>
  <si>
    <t>整数</t>
  </si>
  <si>
    <t>$B$2</t>
  </si>
  <si>
    <t>Number of product Product1</t>
  </si>
  <si>
    <t>约束</t>
  </si>
  <si>
    <t>$C$2</t>
  </si>
  <si>
    <t>Number of product Product2</t>
  </si>
  <si>
    <t>单元格值</t>
  </si>
  <si>
    <t>公式</t>
  </si>
  <si>
    <t>状态</t>
  </si>
  <si>
    <t>型数值</t>
  </si>
  <si>
    <t>$B$10</t>
  </si>
  <si>
    <t xml:space="preserve">Frame parts used in total  Materials used per unit produced </t>
  </si>
  <si>
    <t>$B$10&lt;=$D$10</t>
  </si>
  <si>
    <t>未到限制值</t>
  </si>
  <si>
    <t>$B$11</t>
  </si>
  <si>
    <t xml:space="preserve">Electrical components used in total  Materials used per unit produced </t>
  </si>
  <si>
    <t>$B$11&lt;=$D$11</t>
  </si>
  <si>
    <t>到达限制值</t>
  </si>
  <si>
    <t>$B$12</t>
  </si>
  <si>
    <t xml:space="preserve">Number of product2 Materials used per unit produced </t>
  </si>
  <si>
    <t>$B$12&lt;=$D$12</t>
  </si>
  <si>
    <t>$B$13</t>
  </si>
  <si>
    <t xml:space="preserve">Number of product1 Materials used per unit produced </t>
  </si>
  <si>
    <t>$B$13&gt;=$D$13</t>
  </si>
  <si>
    <t>$B$14</t>
  </si>
  <si>
    <t>$B$14&gt;=$D$14</t>
  </si>
  <si>
    <t>WPS Office 敏感性报告</t>
  </si>
  <si>
    <t>终</t>
  </si>
  <si>
    <t>递减</t>
  </si>
  <si>
    <t>目标式</t>
  </si>
  <si>
    <t>允许的</t>
  </si>
  <si>
    <t>值</t>
  </si>
  <si>
    <t>成本</t>
  </si>
  <si>
    <t>系数</t>
  </si>
  <si>
    <t>增量</t>
  </si>
  <si>
    <t>减量</t>
  </si>
  <si>
    <t>阴影</t>
  </si>
  <si>
    <t>价格</t>
  </si>
  <si>
    <t>限制值</t>
  </si>
  <si>
    <t>WPS Office 极限值报告</t>
  </si>
  <si>
    <t>变量</t>
  </si>
  <si>
    <t>下限</t>
  </si>
  <si>
    <t>上限</t>
  </si>
  <si>
    <t>极限</t>
  </si>
  <si>
    <t>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</si>
</sst>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8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ck">
        <color rgb="FFA4A0A0"/>
      </top>
      <bottom/>
      <diagonal/>
    </border>
    <border>
      <left/>
      <right/>
      <top/>
      <bottom style="thick">
        <color rgb="FFA4A0A0"/>
      </bottom>
      <diagonal/>
    </border>
    <border>
      <left/>
      <right/>
      <top/>
      <bottom style="thin">
        <color rgb="FFA4A0A0"/>
      </bottom>
      <diagonal/>
    </border>
    <border>
      <left/>
      <right/>
      <top style="thick">
        <color rgb="FFA4A0A0"/>
      </top>
      <bottom style="thick">
        <color rgb="FFA4A0A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4">
      <alignment vertical="center"/>
    </xf>
    <xf numFmtId="0" fontId="9" fillId="0" borderId="14">
      <alignment vertical="center"/>
    </xf>
    <xf numFmtId="0" fontId="10" fillId="0" borderId="15">
      <alignment vertical="center"/>
    </xf>
    <xf numFmtId="0" fontId="10" fillId="0" borderId="0">
      <alignment vertical="center"/>
    </xf>
    <xf numFmtId="0" fontId="11" fillId="3" borderId="16">
      <alignment vertical="center"/>
    </xf>
    <xf numFmtId="0" fontId="12" fillId="4" borderId="17">
      <alignment vertical="center"/>
    </xf>
    <xf numFmtId="0" fontId="13" fillId="4" borderId="16">
      <alignment vertical="center"/>
    </xf>
    <xf numFmtId="0" fontId="14" fillId="5" borderId="18">
      <alignment vertical="center"/>
    </xf>
    <xf numFmtId="0" fontId="15" fillId="0" borderId="19">
      <alignment vertical="center"/>
    </xf>
    <xf numFmtId="0" fontId="16" fillId="0" borderId="2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4" fontId="0" fillId="0" borderId="0" xfId="0" applyNumberFormat="1" applyAlignment="1">
      <alignment horizontal="center"/>
    </xf>
    <xf numFmtId="2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zoomScale="120" zoomScaleNormal="120" workbookViewId="0">
      <selection activeCell="C13" sqref="C13"/>
    </sheetView>
  </sheetViews>
  <sheetFormatPr defaultColWidth="9" defaultRowHeight="14" outlineLevelCol="3"/>
  <cols>
    <col min="1" max="1" width="31.75" style="7" customWidth="1"/>
    <col min="2" max="3" width="15.5833333333333" style="7" customWidth="1"/>
    <col min="4" max="4" width="10.0833333333333" customWidth="1"/>
    <col min="5" max="5" width="9" style="7" customWidth="1"/>
    <col min="6" max="6" width="23.8333333333333" style="7" customWidth="1"/>
    <col min="7" max="9" width="9" style="7" customWidth="1"/>
    <col min="10" max="10" width="9" customWidth="1"/>
  </cols>
  <sheetData>
    <row r="1" spans="1:4">
      <c r="A1" s="8"/>
      <c r="B1" s="9" t="s">
        <v>0</v>
      </c>
      <c r="C1" s="9" t="s">
        <v>1</v>
      </c>
      <c r="D1" s="10"/>
    </row>
    <row r="2" spans="1:4">
      <c r="A2" s="11" t="s">
        <v>2</v>
      </c>
      <c r="B2" s="7">
        <v>130</v>
      </c>
      <c r="C2" s="7">
        <v>20</v>
      </c>
      <c r="D2" s="12"/>
    </row>
    <row r="3" spans="1:4">
      <c r="A3" s="11" t="s">
        <v>3</v>
      </c>
      <c r="B3" s="13">
        <v>1</v>
      </c>
      <c r="C3" s="13">
        <v>2</v>
      </c>
      <c r="D3" s="14"/>
    </row>
    <row r="4" spans="1:4">
      <c r="A4" s="11" t="s">
        <v>4</v>
      </c>
      <c r="B4" s="7">
        <f>B2*B3+C2*C3</f>
        <v>170</v>
      </c>
      <c r="D4" s="12"/>
    </row>
    <row r="5" spans="1:4">
      <c r="A5" s="11"/>
      <c r="D5" s="12"/>
    </row>
    <row r="6" spans="1:4">
      <c r="A6" s="11"/>
      <c r="B6" s="7" t="s">
        <v>5</v>
      </c>
      <c r="D6" s="12"/>
    </row>
    <row r="7" spans="1:4">
      <c r="A7" s="11" t="s">
        <v>6</v>
      </c>
      <c r="B7" s="7">
        <v>1</v>
      </c>
      <c r="C7" s="7">
        <v>3</v>
      </c>
      <c r="D7" s="12"/>
    </row>
    <row r="8" spans="1:4">
      <c r="A8" s="11" t="s">
        <v>7</v>
      </c>
      <c r="B8" s="7">
        <v>2</v>
      </c>
      <c r="C8" s="7">
        <v>2</v>
      </c>
      <c r="D8" s="12"/>
    </row>
    <row r="9" spans="1:4">
      <c r="A9" s="11"/>
      <c r="D9" s="12" t="s">
        <v>8</v>
      </c>
    </row>
    <row r="10" spans="1:4">
      <c r="A10" s="11" t="s">
        <v>9</v>
      </c>
      <c r="B10" s="7">
        <f>B2*B7+C2*C7</f>
        <v>190</v>
      </c>
      <c r="C10" s="7" t="s">
        <v>10</v>
      </c>
      <c r="D10" s="12">
        <v>200</v>
      </c>
    </row>
    <row r="11" spans="1:4">
      <c r="A11" s="11" t="s">
        <v>11</v>
      </c>
      <c r="B11" s="7">
        <f>B2*B8+C2*C8</f>
        <v>300</v>
      </c>
      <c r="C11" s="7" t="s">
        <v>10</v>
      </c>
      <c r="D11" s="12">
        <v>300</v>
      </c>
    </row>
    <row r="12" spans="1:4">
      <c r="A12" s="11" t="s">
        <v>12</v>
      </c>
      <c r="B12" s="7">
        <f>C2</f>
        <v>20</v>
      </c>
      <c r="C12" s="7" t="s">
        <v>10</v>
      </c>
      <c r="D12" s="12">
        <v>20</v>
      </c>
    </row>
    <row r="13" spans="1:4">
      <c r="A13" s="11" t="s">
        <v>13</v>
      </c>
      <c r="B13" s="7">
        <f>B2</f>
        <v>130</v>
      </c>
      <c r="C13" s="7" t="s">
        <v>14</v>
      </c>
      <c r="D13" s="12">
        <v>0</v>
      </c>
    </row>
    <row r="14" spans="1:4">
      <c r="A14" s="15" t="s">
        <v>12</v>
      </c>
      <c r="B14" s="16">
        <f>C2</f>
        <v>20</v>
      </c>
      <c r="C14" s="16" t="s">
        <v>14</v>
      </c>
      <c r="D14" s="17">
        <v>0</v>
      </c>
    </row>
    <row r="15" spans="1:4">
      <c r="D15" s="7"/>
    </row>
    <row r="16" spans="1:4">
      <c r="D16" s="7"/>
    </row>
    <row r="17" spans="4:4">
      <c r="D17" s="7"/>
    </row>
    <row r="18" spans="4:4">
      <c r="D18" s="7"/>
    </row>
    <row r="19" spans="4:4">
      <c r="D19" s="7"/>
    </row>
    <row r="20" spans="4:4">
      <c r="D20" s="7"/>
    </row>
  </sheetData>
  <mergeCells count="2">
    <mergeCell ref="B4:C4"/>
    <mergeCell ref="B6:C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showGridLines="0" workbookViewId="0">
      <selection activeCell="C25" sqref="C25"/>
    </sheetView>
  </sheetViews>
  <sheetFormatPr defaultColWidth="8.66666666666667" defaultRowHeight="14" outlineLevelCol="6"/>
  <cols>
    <col min="1" max="1" width="2.08333333333333" customWidth="1"/>
    <col min="2" max="2" width="6.91666666666667" customWidth="1"/>
    <col min="3" max="3" width="61.9166666666667" customWidth="1"/>
    <col min="4" max="4" width="8.75" customWidth="1"/>
    <col min="5" max="5" width="14.6666666666667" customWidth="1"/>
    <col min="6" max="6" width="10.6666666666667" customWidth="1"/>
    <col min="7" max="7" width="6.91666666666667" customWidth="1"/>
  </cols>
  <sheetData>
    <row r="1" spans="1:5">
      <c r="A1" s="1" t="s">
        <v>15</v>
      </c>
    </row>
    <row r="2" spans="1:5">
      <c r="A2" s="1" t="s">
        <v>16</v>
      </c>
    </row>
    <row r="3" spans="1:5">
      <c r="A3" s="1" t="s">
        <v>17</v>
      </c>
    </row>
    <row r="4" spans="1:5">
      <c r="A4" s="1" t="s">
        <v>18</v>
      </c>
    </row>
    <row r="5" spans="1:5">
      <c r="A5" s="1" t="s">
        <v>19</v>
      </c>
    </row>
    <row r="6" spans="1:5">
      <c r="A6" s="1"/>
      <c r="B6" t="s">
        <v>20</v>
      </c>
    </row>
    <row r="7" spans="1:5">
      <c r="A7" s="1"/>
      <c r="B7" t="s">
        <v>21</v>
      </c>
    </row>
    <row r="8" spans="1:5">
      <c r="A8" s="1"/>
      <c r="B8" t="s">
        <v>22</v>
      </c>
    </row>
    <row r="9" spans="1:5">
      <c r="A9" s="1" t="s">
        <v>23</v>
      </c>
    </row>
    <row r="10" spans="1:5">
      <c r="B10" t="s">
        <v>24</v>
      </c>
    </row>
    <row r="11" spans="1:5">
      <c r="B11" t="s">
        <v>25</v>
      </c>
    </row>
    <row r="14" ht="14.75" customHeight="1" spans="1:5">
      <c r="A14" t="s">
        <v>26</v>
      </c>
    </row>
    <row r="15" ht="15.5" customHeight="1" spans="1:5">
      <c r="B15" s="6" t="s">
        <v>27</v>
      </c>
      <c r="C15" s="6" t="s">
        <v>28</v>
      </c>
      <c r="D15" s="6" t="s">
        <v>29</v>
      </c>
      <c r="E15" s="6" t="s">
        <v>30</v>
      </c>
    </row>
    <row r="16" ht="15.5" customHeight="1" spans="1:5">
      <c r="B16" s="4" t="s">
        <v>31</v>
      </c>
      <c r="C16" s="4" t="s">
        <v>32</v>
      </c>
      <c r="D16" s="4">
        <v>0</v>
      </c>
      <c r="E16" s="4">
        <v>170</v>
      </c>
    </row>
    <row r="17" ht="14.75" customHeight="1"/>
    <row r="19" ht="14.75" customHeight="1" spans="1:7">
      <c r="A19" t="s">
        <v>33</v>
      </c>
    </row>
    <row r="20" ht="15.5" customHeight="1" spans="1:7">
      <c r="B20" s="6" t="s">
        <v>27</v>
      </c>
      <c r="C20" s="6" t="s">
        <v>28</v>
      </c>
      <c r="D20" s="6" t="s">
        <v>29</v>
      </c>
      <c r="E20" s="6" t="s">
        <v>30</v>
      </c>
      <c r="F20" s="6" t="s">
        <v>34</v>
      </c>
    </row>
    <row r="21" ht="14.75" customHeight="1" spans="1:7">
      <c r="B21" s="5" t="s">
        <v>35</v>
      </c>
      <c r="C21" s="5" t="s">
        <v>36</v>
      </c>
      <c r="D21" s="5">
        <v>0</v>
      </c>
      <c r="E21" s="5">
        <v>130</v>
      </c>
      <c r="F21" s="5" t="s">
        <v>37</v>
      </c>
    </row>
    <row r="22" ht="14.75" customHeight="1" spans="1:7">
      <c r="B22" s="4" t="s">
        <v>38</v>
      </c>
      <c r="C22" s="4" t="s">
        <v>39</v>
      </c>
      <c r="D22" s="4">
        <v>0</v>
      </c>
      <c r="E22" s="4">
        <v>20</v>
      </c>
      <c r="F22" s="4" t="s">
        <v>37</v>
      </c>
    </row>
    <row r="23" ht="14.75" customHeight="1"/>
    <row r="25" ht="14.75" customHeight="1" spans="1:7">
      <c r="A25" t="s">
        <v>37</v>
      </c>
    </row>
    <row r="26" ht="15.5" customHeight="1" spans="1:7">
      <c r="B26" s="6" t="s">
        <v>27</v>
      </c>
      <c r="C26" s="6" t="s">
        <v>28</v>
      </c>
      <c r="D26" s="6" t="s">
        <v>40</v>
      </c>
      <c r="E26" s="6" t="s">
        <v>41</v>
      </c>
      <c r="F26" s="6" t="s">
        <v>42</v>
      </c>
      <c r="G26" s="6" t="s">
        <v>43</v>
      </c>
    </row>
    <row r="27" ht="14.75" customHeight="1" spans="1:7">
      <c r="B27" s="5" t="s">
        <v>44</v>
      </c>
      <c r="C27" s="5" t="s">
        <v>45</v>
      </c>
      <c r="D27" s="5">
        <v>190</v>
      </c>
      <c r="E27" s="5" t="s">
        <v>46</v>
      </c>
      <c r="F27" s="5" t="s">
        <v>47</v>
      </c>
      <c r="G27" s="5">
        <v>10</v>
      </c>
    </row>
    <row r="28" spans="1:7">
      <c r="B28" s="5" t="s">
        <v>48</v>
      </c>
      <c r="C28" s="5" t="s">
        <v>49</v>
      </c>
      <c r="D28" s="5">
        <v>300</v>
      </c>
      <c r="E28" s="5" t="s">
        <v>50</v>
      </c>
      <c r="F28" s="5" t="s">
        <v>51</v>
      </c>
      <c r="G28" s="5">
        <v>0</v>
      </c>
    </row>
    <row r="29" spans="1:7">
      <c r="B29" s="5" t="s">
        <v>52</v>
      </c>
      <c r="C29" s="5" t="s">
        <v>53</v>
      </c>
      <c r="D29" s="5">
        <v>20</v>
      </c>
      <c r="E29" s="5" t="s">
        <v>54</v>
      </c>
      <c r="F29" s="5" t="s">
        <v>51</v>
      </c>
      <c r="G29" s="5">
        <v>0</v>
      </c>
    </row>
    <row r="30" spans="1:7">
      <c r="B30" s="5" t="s">
        <v>55</v>
      </c>
      <c r="C30" s="5" t="s">
        <v>56</v>
      </c>
      <c r="D30" s="5">
        <v>130</v>
      </c>
      <c r="E30" s="5" t="s">
        <v>57</v>
      </c>
      <c r="F30" s="5" t="s">
        <v>47</v>
      </c>
      <c r="G30" s="5">
        <v>130</v>
      </c>
    </row>
    <row r="31" ht="14.75" customHeight="1" spans="1:7">
      <c r="B31" s="4" t="s">
        <v>58</v>
      </c>
      <c r="C31" s="4" t="s">
        <v>53</v>
      </c>
      <c r="D31" s="4">
        <v>20</v>
      </c>
      <c r="E31" s="4" t="s">
        <v>59</v>
      </c>
      <c r="F31" s="4" t="s">
        <v>47</v>
      </c>
      <c r="G31" s="4">
        <v>20</v>
      </c>
    </row>
    <row r="32" ht="14.7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showGridLines="0" workbookViewId="0">
      <selection activeCell="A1" sqref="A1"/>
    </sheetView>
  </sheetViews>
  <sheetFormatPr defaultColWidth="8.66666666666667" defaultRowHeight="14" outlineLevelCol="7"/>
  <cols>
    <col min="1" max="1" width="2.08333333333333" customWidth="1"/>
    <col min="2" max="2" width="6.91666666666667" customWidth="1"/>
    <col min="3" max="3" width="61.9166666666667" customWidth="1"/>
    <col min="4" max="4" width="4.41666666666667" customWidth="1"/>
    <col min="5" max="5" width="5.08333333333333" customWidth="1"/>
    <col min="6" max="8" width="6.91666666666667" customWidth="1"/>
  </cols>
  <sheetData>
    <row r="1" spans="1:8">
      <c r="A1" s="1" t="s">
        <v>60</v>
      </c>
    </row>
    <row r="2" spans="1:8">
      <c r="A2" s="1" t="s">
        <v>16</v>
      </c>
    </row>
    <row r="3" spans="1:8">
      <c r="A3" s="1" t="s">
        <v>17</v>
      </c>
    </row>
    <row r="6" ht="14.75" customHeight="1" spans="1:8">
      <c r="A6" t="s">
        <v>33</v>
      </c>
    </row>
    <row r="7" ht="14.75" customHeight="1" spans="1:8">
      <c r="B7" s="2"/>
      <c r="C7" s="2"/>
      <c r="D7" s="2" t="s">
        <v>61</v>
      </c>
      <c r="E7" s="2" t="s">
        <v>62</v>
      </c>
      <c r="F7" s="2" t="s">
        <v>63</v>
      </c>
      <c r="G7" s="2" t="s">
        <v>64</v>
      </c>
      <c r="H7" s="2" t="s">
        <v>64</v>
      </c>
    </row>
    <row r="8" ht="14.75" customHeight="1" spans="1:8">
      <c r="B8" s="3" t="s">
        <v>27</v>
      </c>
      <c r="C8" s="3" t="s">
        <v>28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</row>
    <row r="9" ht="14.75" customHeight="1" spans="1:8">
      <c r="B9" s="5" t="s">
        <v>35</v>
      </c>
      <c r="C9" s="5" t="s">
        <v>36</v>
      </c>
      <c r="D9" s="5">
        <v>130</v>
      </c>
      <c r="E9" s="5">
        <v>0</v>
      </c>
      <c r="F9" s="5">
        <v>1</v>
      </c>
      <c r="G9" s="5">
        <v>1</v>
      </c>
      <c r="H9" s="5">
        <v>1</v>
      </c>
    </row>
    <row r="10" ht="14.75" customHeight="1" spans="1:8">
      <c r="B10" s="4" t="s">
        <v>38</v>
      </c>
      <c r="C10" s="4" t="s">
        <v>39</v>
      </c>
      <c r="D10" s="4">
        <v>20</v>
      </c>
      <c r="E10" s="4">
        <v>0</v>
      </c>
      <c r="F10" s="4">
        <v>2</v>
      </c>
      <c r="G10" s="4">
        <v>1e+30</v>
      </c>
      <c r="H10" s="4">
        <v>1</v>
      </c>
    </row>
    <row r="11" ht="14.75" customHeight="1"/>
    <row r="12" ht="14.75" customHeight="1" spans="1:8">
      <c r="A12" t="s">
        <v>37</v>
      </c>
    </row>
    <row r="13" ht="14.75" customHeight="1" spans="1:8">
      <c r="B13" s="2"/>
      <c r="C13" s="2"/>
      <c r="D13" s="2" t="s">
        <v>61</v>
      </c>
      <c r="E13" s="2" t="s">
        <v>70</v>
      </c>
      <c r="F13" s="2" t="s">
        <v>37</v>
      </c>
      <c r="G13" s="2" t="s">
        <v>64</v>
      </c>
      <c r="H13" s="2" t="s">
        <v>64</v>
      </c>
    </row>
    <row r="14" ht="14.75" customHeight="1" spans="1:8">
      <c r="B14" s="3" t="s">
        <v>27</v>
      </c>
      <c r="C14" s="3" t="s">
        <v>28</v>
      </c>
      <c r="D14" s="3" t="s">
        <v>65</v>
      </c>
      <c r="E14" s="3" t="s">
        <v>71</v>
      </c>
      <c r="F14" s="3" t="s">
        <v>72</v>
      </c>
      <c r="G14" s="3" t="s">
        <v>68</v>
      </c>
      <c r="H14" s="3" t="s">
        <v>69</v>
      </c>
    </row>
    <row r="15" ht="14.75" customHeight="1" spans="1:8">
      <c r="B15" s="5" t="s">
        <v>44</v>
      </c>
      <c r="C15" s="5" t="s">
        <v>45</v>
      </c>
      <c r="D15" s="5">
        <v>190</v>
      </c>
      <c r="E15" s="5">
        <v>0</v>
      </c>
      <c r="F15" s="5">
        <v>200</v>
      </c>
      <c r="G15" s="5">
        <v>1e+30</v>
      </c>
      <c r="H15" s="5">
        <v>10</v>
      </c>
    </row>
    <row r="16" spans="1:8">
      <c r="B16" s="5" t="s">
        <v>48</v>
      </c>
      <c r="C16" s="5" t="s">
        <v>49</v>
      </c>
      <c r="D16" s="5">
        <v>300</v>
      </c>
      <c r="E16" s="5">
        <v>0.5</v>
      </c>
      <c r="F16" s="5">
        <v>300</v>
      </c>
      <c r="G16" s="5">
        <v>20</v>
      </c>
      <c r="H16" s="5">
        <v>260</v>
      </c>
    </row>
    <row r="17" spans="2:8">
      <c r="B17" s="5" t="s">
        <v>52</v>
      </c>
      <c r="C17" s="5" t="s">
        <v>53</v>
      </c>
      <c r="D17" s="5">
        <v>20</v>
      </c>
      <c r="E17" s="5">
        <v>1</v>
      </c>
      <c r="F17" s="5">
        <v>20</v>
      </c>
      <c r="G17" s="5">
        <v>5</v>
      </c>
      <c r="H17" s="5">
        <v>20</v>
      </c>
    </row>
    <row r="18" spans="2:8">
      <c r="B18" s="5" t="s">
        <v>55</v>
      </c>
      <c r="C18" s="5" t="s">
        <v>56</v>
      </c>
      <c r="D18" s="5">
        <v>130</v>
      </c>
      <c r="E18" s="5">
        <v>0</v>
      </c>
      <c r="F18" s="5">
        <v>0</v>
      </c>
      <c r="G18" s="5">
        <v>130</v>
      </c>
      <c r="H18" s="5">
        <v>1e+30</v>
      </c>
    </row>
    <row r="19" ht="14.75" customHeight="1" spans="2:8">
      <c r="B19" s="4" t="s">
        <v>58</v>
      </c>
      <c r="C19" s="4" t="s">
        <v>53</v>
      </c>
      <c r="D19" s="4">
        <v>20</v>
      </c>
      <c r="E19" s="4">
        <v>0</v>
      </c>
      <c r="F19" s="4">
        <v>0</v>
      </c>
      <c r="G19" s="4">
        <v>20</v>
      </c>
      <c r="H19" s="4">
        <v>1e+30</v>
      </c>
    </row>
    <row r="20" ht="14.75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showGridLines="0" tabSelected="1" topLeftCell="A5" workbookViewId="0">
      <selection activeCell="O24" sqref="O24"/>
    </sheetView>
  </sheetViews>
  <sheetFormatPr defaultColWidth="8.66666666666667" defaultRowHeight="14"/>
  <cols>
    <col min="1" max="1" width="2.08333333333333" customWidth="1"/>
    <col min="2" max="2" width="6.91666666666667" customWidth="1"/>
    <col min="3" max="3" width="26.1666666666667" customWidth="1"/>
    <col min="4" max="4" width="4.41666666666667" customWidth="1"/>
    <col min="5" max="5" width="2.08333333333333" customWidth="1"/>
    <col min="6" max="6" width="5.08333333333333" customWidth="1"/>
    <col min="7" max="7" width="6.91666666666667" customWidth="1"/>
    <col min="8" max="8" width="2.08333333333333" customWidth="1"/>
    <col min="9" max="9" width="5.08333333333333" customWidth="1"/>
    <col min="10" max="10" width="6.91666666666667" customWidth="1"/>
  </cols>
  <sheetData>
    <row r="1" spans="1:10">
      <c r="A1" s="1" t="s">
        <v>73</v>
      </c>
    </row>
    <row r="2" spans="1:10">
      <c r="A2" s="1" t="s">
        <v>16</v>
      </c>
    </row>
    <row r="3" spans="1:10">
      <c r="A3" s="1" t="s">
        <v>17</v>
      </c>
    </row>
    <row r="5" ht="14.75" customHeight="1"/>
    <row r="6" ht="14.75" customHeight="1" spans="1:10">
      <c r="B6" s="2"/>
      <c r="C6" s="2" t="s">
        <v>63</v>
      </c>
      <c r="D6" s="2"/>
    </row>
    <row r="7" ht="14.75" customHeight="1" spans="1:10">
      <c r="B7" s="3" t="s">
        <v>27</v>
      </c>
      <c r="C7" s="3" t="s">
        <v>28</v>
      </c>
      <c r="D7" s="3" t="s">
        <v>65</v>
      </c>
    </row>
    <row r="8" ht="15.5" customHeight="1" spans="1:10">
      <c r="B8" s="4" t="s">
        <v>31</v>
      </c>
      <c r="C8" s="4" t="s">
        <v>32</v>
      </c>
      <c r="D8" s="4">
        <v>170</v>
      </c>
    </row>
    <row r="9" ht="14.75" customHeight="1"/>
    <row r="10" ht="14.75" customHeight="1"/>
    <row r="11" ht="14.75" customHeight="1" spans="1:10">
      <c r="B11" s="2"/>
      <c r="C11" s="2" t="s">
        <v>74</v>
      </c>
      <c r="D11" s="2"/>
      <c r="F11" s="2" t="s">
        <v>75</v>
      </c>
      <c r="G11" s="2" t="s">
        <v>63</v>
      </c>
      <c r="I11" s="2" t="s">
        <v>76</v>
      </c>
      <c r="J11" s="2" t="s">
        <v>63</v>
      </c>
    </row>
    <row r="12" ht="14.75" customHeight="1" spans="1:10">
      <c r="B12" s="3" t="s">
        <v>27</v>
      </c>
      <c r="C12" s="3" t="s">
        <v>28</v>
      </c>
      <c r="D12" s="3" t="s">
        <v>65</v>
      </c>
      <c r="F12" s="3" t="s">
        <v>77</v>
      </c>
      <c r="G12" s="3" t="s">
        <v>78</v>
      </c>
      <c r="I12" s="3" t="s">
        <v>77</v>
      </c>
      <c r="J12" s="3" t="s">
        <v>78</v>
      </c>
    </row>
    <row r="13" ht="14.75" customHeight="1" spans="1:10">
      <c r="B13" s="5" t="s">
        <v>35</v>
      </c>
      <c r="C13" s="5" t="s">
        <v>36</v>
      </c>
      <c r="D13" s="5">
        <v>130</v>
      </c>
      <c r="F13" s="5">
        <v>0</v>
      </c>
      <c r="G13" s="5">
        <v>40</v>
      </c>
      <c r="I13" s="5">
        <v>130</v>
      </c>
      <c r="J13" s="5">
        <v>170</v>
      </c>
    </row>
    <row r="14" ht="14.75" customHeight="1" spans="1:10">
      <c r="B14" s="4" t="s">
        <v>38</v>
      </c>
      <c r="C14" s="4" t="s">
        <v>39</v>
      </c>
      <c r="D14" s="4">
        <v>20</v>
      </c>
      <c r="F14" s="4">
        <v>0</v>
      </c>
      <c r="G14" s="4">
        <v>130</v>
      </c>
      <c r="I14" s="4">
        <v>20</v>
      </c>
      <c r="J14" s="4">
        <v>170</v>
      </c>
    </row>
    <row r="15" ht="14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Solution_Solver</vt:lpstr>
      <vt:lpstr>运算结果报告</vt:lpstr>
      <vt:lpstr>敏感性报告</vt:lpstr>
      <vt:lpstr>极限值报告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陈正阳</dc:creator>
  <cp:lastModifiedBy>当条咸鱼</cp:lastModifiedBy>
  <dcterms:created xsi:type="dcterms:W3CDTF">2015-06-05T18:19:00Z</dcterms:created>
  <dcterms:modified xsi:type="dcterms:W3CDTF">2025-12-09T20:10:05Z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392FA198FE494753BD0B34CCD34DAC6F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
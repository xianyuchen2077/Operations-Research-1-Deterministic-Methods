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ter\Homework\Operation Research\hw_07_贾悦\problem_1\"/>
    </mc:Choice>
  </mc:AlternateContent>
  <xr:revisionPtr revIDLastSave="0" documentId="13_ncr:1_{2755ABCA-9B0A-4AA6-9838-FF8821E12280}" xr6:coauthVersionLast="47" xr6:coauthVersionMax="47" xr10:uidLastSave="{00000000-0000-0000-0000-000000000000}"/>
  <bookViews>
    <workbookView xWindow="-110" yWindow="-110" windowWidth="25820" windowHeight="15500" activeTab="5" xr2:uid="{ED5A4FE4-F0D4-4273-82F8-9C43166C027A}"/>
  </bookViews>
  <sheets>
    <sheet name="Root" sheetId="1" r:id="rId1"/>
    <sheet name="S1" sheetId="2" r:id="rId2"/>
    <sheet name="S3" sheetId="3" r:id="rId3"/>
    <sheet name="S7" sheetId="4" r:id="rId4"/>
    <sheet name="S8" sheetId="5" r:id="rId5"/>
    <sheet name="S4" sheetId="6" r:id="rId6"/>
    <sheet name="S2" sheetId="7" r:id="rId7"/>
  </sheets>
  <definedNames>
    <definedName name="solver_adj" localSheetId="0" hidden="1">Root!$C$2:$D$2</definedName>
    <definedName name="solver_adj" localSheetId="1" hidden="1">'S1'!$C$2:$D$2</definedName>
    <definedName name="solver_adj" localSheetId="6" hidden="1">'S2'!$C$2:$D$2</definedName>
    <definedName name="solver_adj" localSheetId="2" hidden="1">'S3'!$C$2:$D$2</definedName>
    <definedName name="solver_adj" localSheetId="5" hidden="1">'S4'!$C$2:$D$2</definedName>
    <definedName name="solver_adj" localSheetId="3" hidden="1">'S7'!$C$2:$D$2</definedName>
    <definedName name="solver_adj" localSheetId="4" hidden="1">'S8'!$C$2:$D$2</definedName>
    <definedName name="solver_cvg" localSheetId="0" hidden="1">0.0001</definedName>
    <definedName name="solver_cvg" localSheetId="1" hidden="1">0.0001</definedName>
    <definedName name="solver_cvg" localSheetId="6" hidden="1">0.0001</definedName>
    <definedName name="solver_cvg" localSheetId="2" hidden="1">0.0001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2</definedName>
    <definedName name="solver_drv" localSheetId="6" hidden="1">1</definedName>
    <definedName name="solver_drv" localSheetId="2" hidden="1">1</definedName>
    <definedName name="solver_drv" localSheetId="5" hidden="1">1</definedName>
    <definedName name="solver_drv" localSheetId="3" hidden="1">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6" hidden="1">1</definedName>
    <definedName name="solver_eng" localSheetId="2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est" localSheetId="0" hidden="1">1</definedName>
    <definedName name="solver_est" localSheetId="1" hidden="1">1</definedName>
    <definedName name="solver_est" localSheetId="6" hidden="1">1</definedName>
    <definedName name="solver_est" localSheetId="2" hidden="1">1</definedName>
    <definedName name="solver_est" localSheetId="5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6" hidden="1">2147483647</definedName>
    <definedName name="solver_itr" localSheetId="2" hidden="1">2147483647</definedName>
    <definedName name="solver_itr" localSheetId="5" hidden="1">2147483647</definedName>
    <definedName name="solver_itr" localSheetId="3" hidden="1">2147483647</definedName>
    <definedName name="solver_itr" localSheetId="4" hidden="1">2147483647</definedName>
    <definedName name="solver_lhs1" localSheetId="0" hidden="1">Root!$E$10</definedName>
    <definedName name="solver_lhs1" localSheetId="1" hidden="1">'S1'!$E$10</definedName>
    <definedName name="solver_lhs1" localSheetId="6" hidden="1">'S2'!$E$10</definedName>
    <definedName name="solver_lhs1" localSheetId="2" hidden="1">'S3'!$E$10</definedName>
    <definedName name="solver_lhs1" localSheetId="5" hidden="1">'S4'!$E$10</definedName>
    <definedName name="solver_lhs1" localSheetId="3" hidden="1">'S7'!$E$10</definedName>
    <definedName name="solver_lhs1" localSheetId="4" hidden="1">'S8'!$E$10</definedName>
    <definedName name="solver_lhs2" localSheetId="0" hidden="1">Root!$E$8</definedName>
    <definedName name="solver_lhs2" localSheetId="1" hidden="1">'S1'!$E$13</definedName>
    <definedName name="solver_lhs2" localSheetId="6" hidden="1">'S2'!$E$13</definedName>
    <definedName name="solver_lhs2" localSheetId="2" hidden="1">'S3'!$E$13</definedName>
    <definedName name="solver_lhs2" localSheetId="5" hidden="1">'S4'!$E$13</definedName>
    <definedName name="solver_lhs2" localSheetId="3" hidden="1">'S7'!$E$13</definedName>
    <definedName name="solver_lhs2" localSheetId="4" hidden="1">'S8'!$E$13</definedName>
    <definedName name="solver_lhs3" localSheetId="0" hidden="1">Root!$E$9</definedName>
    <definedName name="solver_lhs3" localSheetId="1" hidden="1">'S1'!$E$8</definedName>
    <definedName name="solver_lhs3" localSheetId="6" hidden="1">'S2'!$E$8</definedName>
    <definedName name="solver_lhs3" localSheetId="2" hidden="1">'S3'!$E$14</definedName>
    <definedName name="solver_lhs3" localSheetId="5" hidden="1">'S4'!$E$14</definedName>
    <definedName name="solver_lhs3" localSheetId="3" hidden="1">'S7'!$E$14</definedName>
    <definedName name="solver_lhs3" localSheetId="4" hidden="1">'S8'!$E$14</definedName>
    <definedName name="solver_lhs4" localSheetId="0" hidden="1">Root!$E$10</definedName>
    <definedName name="solver_lhs4" localSheetId="1" hidden="1">'S1'!$E$9</definedName>
    <definedName name="solver_lhs4" localSheetId="6" hidden="1">'S2'!$E$9</definedName>
    <definedName name="solver_lhs4" localSheetId="2" hidden="1">'S3'!$E$8</definedName>
    <definedName name="solver_lhs4" localSheetId="5" hidden="1">'S4'!$E$8</definedName>
    <definedName name="solver_lhs4" localSheetId="3" hidden="1">'S7'!$E$15</definedName>
    <definedName name="solver_lhs4" localSheetId="4" hidden="1">'S8'!$E$15</definedName>
    <definedName name="solver_lhs5" localSheetId="0" hidden="1">Root!$E$10</definedName>
    <definedName name="solver_lhs5" localSheetId="2" hidden="1">'S3'!$E$9</definedName>
    <definedName name="solver_lhs5" localSheetId="5" hidden="1">'S4'!$E$9</definedName>
    <definedName name="solver_lhs5" localSheetId="3" hidden="1">'S7'!$E$8</definedName>
    <definedName name="solver_lhs5" localSheetId="4" hidden="1">'S8'!$E$8</definedName>
    <definedName name="solver_lhs6" localSheetId="3" hidden="1">'S7'!$E$9</definedName>
    <definedName name="solver_lhs6" localSheetId="4" hidden="1">'S8'!$E$9</definedName>
    <definedName name="solver_mip" localSheetId="0" hidden="1">2147483647</definedName>
    <definedName name="solver_mip" localSheetId="1" hidden="1">2147483647</definedName>
    <definedName name="solver_mip" localSheetId="6" hidden="1">2147483647</definedName>
    <definedName name="solver_mip" localSheetId="2" hidden="1">2147483647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6" hidden="1">30</definedName>
    <definedName name="solver_mni" localSheetId="2" hidden="1">30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6" hidden="1">0.075</definedName>
    <definedName name="solver_mrt" localSheetId="2" hidden="1">0.075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6" hidden="1">2</definedName>
    <definedName name="solver_msl" localSheetId="2" hidden="1">2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6" hidden="1">1</definedName>
    <definedName name="solver_neg" localSheetId="2" hidden="1">1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6" hidden="1">2147483647</definedName>
    <definedName name="solver_nod" localSheetId="2" hidden="1">2147483647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um" localSheetId="0" hidden="1">3</definedName>
    <definedName name="solver_num" localSheetId="1" hidden="1">4</definedName>
    <definedName name="solver_num" localSheetId="6" hidden="1">4</definedName>
    <definedName name="solver_num" localSheetId="2" hidden="1">5</definedName>
    <definedName name="solver_num" localSheetId="5" hidden="1">5</definedName>
    <definedName name="solver_num" localSheetId="3" hidden="1">6</definedName>
    <definedName name="solver_num" localSheetId="4" hidden="1">6</definedName>
    <definedName name="solver_nwt" localSheetId="0" hidden="1">1</definedName>
    <definedName name="solver_nwt" localSheetId="1" hidden="1">1</definedName>
    <definedName name="solver_nwt" localSheetId="6" hidden="1">1</definedName>
    <definedName name="solver_nwt" localSheetId="2" hidden="1">1</definedName>
    <definedName name="solver_nwt" localSheetId="5" hidden="1">1</definedName>
    <definedName name="solver_nwt" localSheetId="3" hidden="1">1</definedName>
    <definedName name="solver_nwt" localSheetId="4" hidden="1">1</definedName>
    <definedName name="solver_opt" localSheetId="0" hidden="1">Root!$G$5</definedName>
    <definedName name="solver_opt" localSheetId="1" hidden="1">'S1'!$G$5</definedName>
    <definedName name="solver_opt" localSheetId="6" hidden="1">'S2'!$G$5</definedName>
    <definedName name="solver_opt" localSheetId="2" hidden="1">'S3'!$G$5</definedName>
    <definedName name="solver_opt" localSheetId="5" hidden="1">'S4'!$G$5</definedName>
    <definedName name="solver_opt" localSheetId="3" hidden="1">'S7'!$G$5</definedName>
    <definedName name="solver_opt" localSheetId="4" hidden="1">'S8'!$G$5</definedName>
    <definedName name="solver_pre" localSheetId="0" hidden="1">0.000001</definedName>
    <definedName name="solver_pre" localSheetId="1" hidden="1">0.000001</definedName>
    <definedName name="solver_pre" localSheetId="6" hidden="1">0.000001</definedName>
    <definedName name="solver_pre" localSheetId="2" hidden="1">0.000001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2</definedName>
    <definedName name="solver_rbv" localSheetId="6" hidden="1">1</definedName>
    <definedName name="solver_rbv" localSheetId="2" hidden="1">1</definedName>
    <definedName name="solver_rbv" localSheetId="5" hidden="1">1</definedName>
    <definedName name="solver_rbv" localSheetId="3" hidden="1">1</definedName>
    <definedName name="solver_rbv" localSheetId="4" hidden="1">1</definedName>
    <definedName name="solver_rel1" localSheetId="0" hidden="1">1</definedName>
    <definedName name="solver_rel1" localSheetId="1" hidden="1">1</definedName>
    <definedName name="solver_rel1" localSheetId="6" hidden="1">1</definedName>
    <definedName name="solver_rel1" localSheetId="2" hidden="1">1</definedName>
    <definedName name="solver_rel1" localSheetId="5" hidden="1">1</definedName>
    <definedName name="solver_rel1" localSheetId="3" hidden="1">1</definedName>
    <definedName name="solver_rel1" localSheetId="4" hidden="1">1</definedName>
    <definedName name="solver_rel2" localSheetId="0" hidden="1">1</definedName>
    <definedName name="solver_rel2" localSheetId="1" hidden="1">1</definedName>
    <definedName name="solver_rel2" localSheetId="6" hidden="1">3</definedName>
    <definedName name="solver_rel2" localSheetId="2" hidden="1">1</definedName>
    <definedName name="solver_rel2" localSheetId="5" hidden="1">1</definedName>
    <definedName name="solver_rel2" localSheetId="3" hidden="1">1</definedName>
    <definedName name="solver_rel2" localSheetId="4" hidden="1">1</definedName>
    <definedName name="solver_rel3" localSheetId="0" hidden="1">1</definedName>
    <definedName name="solver_rel3" localSheetId="1" hidden="1">1</definedName>
    <definedName name="solver_rel3" localSheetId="6" hidden="1">1</definedName>
    <definedName name="solver_rel3" localSheetId="2" hidden="1">1</definedName>
    <definedName name="solver_rel3" localSheetId="5" hidden="1">3</definedName>
    <definedName name="solver_rel3" localSheetId="3" hidden="1">1</definedName>
    <definedName name="solver_rel3" localSheetId="4" hidden="1">1</definedName>
    <definedName name="solver_rel4" localSheetId="0" hidden="1">1</definedName>
    <definedName name="solver_rel4" localSheetId="1" hidden="1">1</definedName>
    <definedName name="solver_rel4" localSheetId="6" hidden="1">1</definedName>
    <definedName name="solver_rel4" localSheetId="2" hidden="1">1</definedName>
    <definedName name="solver_rel4" localSheetId="5" hidden="1">1</definedName>
    <definedName name="solver_rel4" localSheetId="3" hidden="1">1</definedName>
    <definedName name="solver_rel4" localSheetId="4" hidden="1">3</definedName>
    <definedName name="solver_rel5" localSheetId="0" hidden="1">1</definedName>
    <definedName name="solver_rel5" localSheetId="2" hidden="1">1</definedName>
    <definedName name="solver_rel5" localSheetId="5" hidden="1">1</definedName>
    <definedName name="solver_rel5" localSheetId="3" hidden="1">1</definedName>
    <definedName name="solver_rel5" localSheetId="4" hidden="1">1</definedName>
    <definedName name="solver_rel6" localSheetId="3" hidden="1">1</definedName>
    <definedName name="solver_rel6" localSheetId="4" hidden="1">1</definedName>
    <definedName name="solver_rhs1" localSheetId="0" hidden="1">Root!$G$10</definedName>
    <definedName name="solver_rhs1" localSheetId="1" hidden="1">'S1'!$G$10</definedName>
    <definedName name="solver_rhs1" localSheetId="6" hidden="1">'S2'!$G$10</definedName>
    <definedName name="solver_rhs1" localSheetId="2" hidden="1">'S3'!$G$10</definedName>
    <definedName name="solver_rhs1" localSheetId="5" hidden="1">'S4'!$G$10</definedName>
    <definedName name="solver_rhs1" localSheetId="3" hidden="1">'S7'!$G$10</definedName>
    <definedName name="solver_rhs1" localSheetId="4" hidden="1">'S8'!$G$10</definedName>
    <definedName name="solver_rhs2" localSheetId="0" hidden="1">Root!$G$8</definedName>
    <definedName name="solver_rhs2" localSheetId="1" hidden="1">'S1'!$G$13</definedName>
    <definedName name="solver_rhs2" localSheetId="6" hidden="1">'S2'!$G$13</definedName>
    <definedName name="solver_rhs2" localSheetId="2" hidden="1">'S3'!$G$13</definedName>
    <definedName name="solver_rhs2" localSheetId="5" hidden="1">'S4'!$G$13</definedName>
    <definedName name="solver_rhs2" localSheetId="3" hidden="1">'S7'!$G$13</definedName>
    <definedName name="solver_rhs2" localSheetId="4" hidden="1">'S8'!$G$13</definedName>
    <definedName name="solver_rhs3" localSheetId="0" hidden="1">Root!$G$9</definedName>
    <definedName name="solver_rhs3" localSheetId="1" hidden="1">'S1'!$G$8</definedName>
    <definedName name="solver_rhs3" localSheetId="6" hidden="1">'S2'!$G$8</definedName>
    <definedName name="solver_rhs3" localSheetId="2" hidden="1">'S3'!$G$14</definedName>
    <definedName name="solver_rhs3" localSheetId="5" hidden="1">'S4'!$G$14</definedName>
    <definedName name="solver_rhs3" localSheetId="3" hidden="1">'S7'!$G$14</definedName>
    <definedName name="solver_rhs3" localSheetId="4" hidden="1">'S8'!$G$14</definedName>
    <definedName name="solver_rhs4" localSheetId="0" hidden="1">Root!$G$10</definedName>
    <definedName name="solver_rhs4" localSheetId="1" hidden="1">'S1'!$G$9</definedName>
    <definedName name="solver_rhs4" localSheetId="6" hidden="1">'S2'!$G$9</definedName>
    <definedName name="solver_rhs4" localSheetId="2" hidden="1">'S3'!$G$8</definedName>
    <definedName name="solver_rhs4" localSheetId="5" hidden="1">'S4'!$G$8</definedName>
    <definedName name="solver_rhs4" localSheetId="3" hidden="1">'S7'!$G$15</definedName>
    <definedName name="solver_rhs4" localSheetId="4" hidden="1">'S8'!$G$15</definedName>
    <definedName name="solver_rhs5" localSheetId="0" hidden="1">Root!$G$10</definedName>
    <definedName name="solver_rhs5" localSheetId="2" hidden="1">'S3'!$G$9</definedName>
    <definedName name="solver_rhs5" localSheetId="5" hidden="1">'S4'!$G$9</definedName>
    <definedName name="solver_rhs5" localSheetId="3" hidden="1">'S7'!$G$8</definedName>
    <definedName name="solver_rhs5" localSheetId="4" hidden="1">'S8'!$G$8</definedName>
    <definedName name="solver_rhs6" localSheetId="3" hidden="1">'S7'!$G$9</definedName>
    <definedName name="solver_rhs6" localSheetId="4" hidden="1">'S8'!$G$9</definedName>
    <definedName name="solver_rlx" localSheetId="0" hidden="1">2</definedName>
    <definedName name="solver_rlx" localSheetId="1" hidden="1">2</definedName>
    <definedName name="solver_rlx" localSheetId="6" hidden="1">2</definedName>
    <definedName name="solver_rlx" localSheetId="2" hidden="1">2</definedName>
    <definedName name="solver_rlx" localSheetId="5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6" hidden="1">0</definedName>
    <definedName name="solver_rsd" localSheetId="2" hidden="1">0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2</definedName>
    <definedName name="solver_scl" localSheetId="6" hidden="1">1</definedName>
    <definedName name="solver_scl" localSheetId="2" hidden="1">1</definedName>
    <definedName name="solver_scl" localSheetId="5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6" hidden="1">2</definedName>
    <definedName name="solver_sho" localSheetId="2" hidden="1">2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6" hidden="1">100</definedName>
    <definedName name="solver_ssz" localSheetId="2" hidden="1">100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6" hidden="1">2147483647</definedName>
    <definedName name="solver_tim" localSheetId="2" hidden="1">2147483647</definedName>
    <definedName name="solver_tim" localSheetId="5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6" hidden="1">0.01</definedName>
    <definedName name="solver_tol" localSheetId="2" hidden="1">0.01</definedName>
    <definedName name="solver_tol" localSheetId="5" hidden="1">0.01</definedName>
    <definedName name="solver_tol" localSheetId="3" hidden="1">0.01</definedName>
    <definedName name="solver_tol" localSheetId="4" hidden="1">0.01</definedName>
    <definedName name="solver_typ" localSheetId="0" hidden="1">1</definedName>
    <definedName name="solver_typ" localSheetId="1" hidden="1">1</definedName>
    <definedName name="solver_typ" localSheetId="6" hidden="1">1</definedName>
    <definedName name="solver_typ" localSheetId="2" hidden="1">1</definedName>
    <definedName name="solver_typ" localSheetId="5" hidden="1">1</definedName>
    <definedName name="solver_typ" localSheetId="3" hidden="1">1</definedName>
    <definedName name="solver_typ" localSheetId="4" hidden="1">1</definedName>
    <definedName name="solver_val" localSheetId="0" hidden="1">0</definedName>
    <definedName name="solver_val" localSheetId="1" hidden="1">0</definedName>
    <definedName name="solver_val" localSheetId="6" hidden="1">0</definedName>
    <definedName name="solver_val" localSheetId="2" hidden="1">0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6" hidden="1">3</definedName>
    <definedName name="solver_ver" localSheetId="2" hidden="1">3</definedName>
    <definedName name="solver_ver" localSheetId="5" hidden="1">3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7" l="1"/>
  <c r="E12" i="7"/>
  <c r="E11" i="7"/>
  <c r="E10" i="7"/>
  <c r="E9" i="7"/>
  <c r="E8" i="7"/>
  <c r="G5" i="7"/>
  <c r="E14" i="6"/>
  <c r="E13" i="6"/>
  <c r="E12" i="6"/>
  <c r="E11" i="6"/>
  <c r="E10" i="6"/>
  <c r="E9" i="6"/>
  <c r="E8" i="6"/>
  <c r="G5" i="6"/>
  <c r="E15" i="5"/>
  <c r="E14" i="5"/>
  <c r="E13" i="5"/>
  <c r="E12" i="5"/>
  <c r="E11" i="5"/>
  <c r="E10" i="5"/>
  <c r="E9" i="5"/>
  <c r="E8" i="5"/>
  <c r="G5" i="5"/>
  <c r="E15" i="4"/>
  <c r="E14" i="4"/>
  <c r="E13" i="4"/>
  <c r="E12" i="4"/>
  <c r="E11" i="4"/>
  <c r="E10" i="4"/>
  <c r="E9" i="4"/>
  <c r="E8" i="4"/>
  <c r="G5" i="4"/>
  <c r="E14" i="3"/>
  <c r="E13" i="3"/>
  <c r="E12" i="3"/>
  <c r="E11" i="3"/>
  <c r="E10" i="3"/>
  <c r="E9" i="3"/>
  <c r="E8" i="3"/>
  <c r="G5" i="3"/>
  <c r="E13" i="2"/>
  <c r="E12" i="2"/>
  <c r="E11" i="2"/>
  <c r="E10" i="2"/>
  <c r="E9" i="2"/>
  <c r="E8" i="2"/>
  <c r="G5" i="2"/>
  <c r="G5" i="1"/>
  <c r="E9" i="1"/>
  <c r="E8" i="1"/>
  <c r="E10" i="1"/>
  <c r="E11" i="1"/>
  <c r="E12" i="1"/>
</calcChain>
</file>

<file path=xl/sharedStrings.xml><?xml version="1.0" encoding="utf-8"?>
<sst xmlns="http://schemas.openxmlformats.org/spreadsheetml/2006/main" count="198" uniqueCount="30">
  <si>
    <t>max</t>
    <phoneticPr fontId="5" type="noConversion"/>
  </si>
  <si>
    <t>z =</t>
    <phoneticPr fontId="5" type="noConversion"/>
  </si>
  <si>
    <t>x_1</t>
    <phoneticPr fontId="5" type="noConversion"/>
  </si>
  <si>
    <t>x_2</t>
    <phoneticPr fontId="5" type="noConversion"/>
  </si>
  <si>
    <t>&lt;=</t>
    <phoneticPr fontId="5" type="noConversion"/>
  </si>
  <si>
    <t>&gt;=</t>
    <phoneticPr fontId="5" type="noConversion"/>
  </si>
  <si>
    <t>, integer</t>
    <phoneticPr fontId="5" type="noConversion"/>
  </si>
  <si>
    <t>s.t.</t>
    <phoneticPr fontId="5" type="noConversion"/>
  </si>
  <si>
    <t>RHS</t>
    <phoneticPr fontId="5" type="noConversion"/>
  </si>
  <si>
    <t>z</t>
    <phoneticPr fontId="5" type="noConversion"/>
  </si>
  <si>
    <t>Σa_ijx_i</t>
    <phoneticPr fontId="5" type="noConversion"/>
  </si>
  <si>
    <t>c_1</t>
    <phoneticPr fontId="5" type="noConversion"/>
  </si>
  <si>
    <t>c_2</t>
    <phoneticPr fontId="5" type="noConversion"/>
  </si>
  <si>
    <t>a_1j</t>
    <phoneticPr fontId="5" type="noConversion"/>
  </si>
  <si>
    <t>a_2j</t>
    <phoneticPr fontId="5" type="noConversion"/>
  </si>
  <si>
    <t>Note:</t>
    <phoneticPr fontId="5" type="noConversion"/>
  </si>
  <si>
    <t>Cells in orange are decision variables</t>
    <phoneticPr fontId="5" type="noConversion"/>
  </si>
  <si>
    <t>Cells in blue are known data</t>
    <phoneticPr fontId="5" type="noConversion"/>
  </si>
  <si>
    <t>Cells with slash are released constraints</t>
    <phoneticPr fontId="5" type="noConversion"/>
  </si>
  <si>
    <t>Cell in grey is objective function value</t>
    <phoneticPr fontId="5" type="noConversion"/>
  </si>
  <si>
    <t>This is a candidate solution</t>
    <phoneticPr fontId="5" type="noConversion"/>
  </si>
  <si>
    <t>This problem is infeasible</t>
    <phoneticPr fontId="5" type="noConversion"/>
  </si>
  <si>
    <t>This subproblem cannot yield the optimal solution after checking S4</t>
    <phoneticPr fontId="5" type="noConversion"/>
  </si>
  <si>
    <t>Candidate, ×</t>
    <phoneticPr fontId="5" type="noConversion"/>
  </si>
  <si>
    <t>Candidate, Optimal</t>
    <phoneticPr fontId="5" type="noConversion"/>
  </si>
  <si>
    <t>This subproblem yield the optimal solution to the IP</t>
    <phoneticPr fontId="5" type="noConversion"/>
  </si>
  <si>
    <t>Infeasible</t>
    <phoneticPr fontId="5" type="noConversion"/>
  </si>
  <si>
    <t>Cells in green are artificial constrains added for this branch</t>
    <phoneticPr fontId="5" type="noConversion"/>
  </si>
  <si>
    <t>In the sheet names of this file, "S" stands for "Subproblem", so "S1" is "Subproblem 1" for example.</t>
    <phoneticPr fontId="5" type="noConversion"/>
  </si>
  <si>
    <t>Using abbreviation is to make the branch and bound tree easier to read.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</si>
</sst>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3F3F3F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6" fillId="3" borderId="2" xfId="2" applyNumberFormat="1" applyFont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1" fillId="5" borderId="3" xfId="4" applyBorder="1" applyAlignment="1">
      <alignment horizontal="center" vertical="center"/>
    </xf>
  </cellXfs>
  <cellStyles count="5">
    <cellStyle name="20% - 着色 1" xfId="3" builtinId="30"/>
    <cellStyle name="20% - 着色 6" xfId="4" builtinId="50"/>
    <cellStyle name="常规" xfId="0" builtinId="0"/>
    <cellStyle name="输出" xfId="2" builtinId="21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75E2-08AA-471F-9C06-AA2013672D14}">
  <dimension ref="A1:H21"/>
  <sheetViews>
    <sheetView workbookViewId="0">
      <selection activeCell="G5" sqref="G5"/>
    </sheetView>
  </sheetViews>
  <sheetFormatPr defaultRowHeight="14" x14ac:dyDescent="0.3"/>
  <cols>
    <col min="1" max="1" width="4.9140625" customWidth="1"/>
    <col min="2" max="2" width="3.08203125" customWidth="1"/>
    <col min="3" max="5" width="6.58203125" customWidth="1"/>
    <col min="6" max="6" width="3" customWidth="1"/>
    <col min="7" max="7" width="6.58203125" customWidth="1"/>
    <col min="8" max="8" width="7.1640625" customWidth="1"/>
  </cols>
  <sheetData>
    <row r="1" spans="1:8" x14ac:dyDescent="0.3">
      <c r="A1" s="1"/>
      <c r="B1" s="1"/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s="1"/>
      <c r="B2" s="1"/>
      <c r="C2" s="3">
        <v>2.8571428939556087</v>
      </c>
      <c r="D2" s="3">
        <v>3</v>
      </c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 t="s">
        <v>11</v>
      </c>
      <c r="D4" s="1" t="s">
        <v>12</v>
      </c>
      <c r="E4" s="1"/>
      <c r="F4" s="1"/>
      <c r="G4" s="1" t="s">
        <v>9</v>
      </c>
      <c r="H4" s="1"/>
    </row>
    <row r="5" spans="1:8" x14ac:dyDescent="0.3">
      <c r="A5" s="1" t="s">
        <v>0</v>
      </c>
      <c r="B5" s="1" t="s">
        <v>1</v>
      </c>
      <c r="C5" s="4">
        <v>4</v>
      </c>
      <c r="D5" s="4">
        <v>-1</v>
      </c>
      <c r="E5" s="1"/>
      <c r="F5" s="1"/>
      <c r="G5" s="5">
        <f>C5*C2+D5*D2</f>
        <v>8.4285715758224349</v>
      </c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 t="s">
        <v>13</v>
      </c>
      <c r="D7" s="1" t="s">
        <v>14</v>
      </c>
      <c r="E7" s="2" t="s">
        <v>10</v>
      </c>
      <c r="F7" s="1"/>
      <c r="G7" s="1" t="s">
        <v>8</v>
      </c>
      <c r="H7" s="1"/>
    </row>
    <row r="8" spans="1:8" x14ac:dyDescent="0.3">
      <c r="A8" s="1" t="s">
        <v>7</v>
      </c>
      <c r="B8" s="1"/>
      <c r="C8" s="4">
        <v>7</v>
      </c>
      <c r="D8" s="4">
        <v>-2</v>
      </c>
      <c r="E8" s="1">
        <f t="shared" ref="E8:E12" si="0">C8*C$2+D8*D$2</f>
        <v>14.000000257689262</v>
      </c>
      <c r="F8" s="1" t="s">
        <v>4</v>
      </c>
      <c r="G8" s="4">
        <v>14</v>
      </c>
      <c r="H8" s="1"/>
    </row>
    <row r="9" spans="1:8" x14ac:dyDescent="0.3">
      <c r="A9" s="1"/>
      <c r="B9" s="1"/>
      <c r="C9" s="4">
        <v>0</v>
      </c>
      <c r="D9" s="4">
        <v>1</v>
      </c>
      <c r="E9" s="1">
        <f t="shared" si="0"/>
        <v>3</v>
      </c>
      <c r="F9" s="1" t="s">
        <v>4</v>
      </c>
      <c r="G9" s="4">
        <v>3</v>
      </c>
      <c r="H9" s="1"/>
    </row>
    <row r="10" spans="1:8" x14ac:dyDescent="0.3">
      <c r="A10" s="1"/>
      <c r="B10" s="1"/>
      <c r="C10" s="4">
        <v>2</v>
      </c>
      <c r="D10" s="4">
        <v>-2</v>
      </c>
      <c r="E10" s="1">
        <f t="shared" si="0"/>
        <v>-0.28571421208878256</v>
      </c>
      <c r="F10" s="1" t="s">
        <v>4</v>
      </c>
      <c r="G10" s="4">
        <v>3</v>
      </c>
      <c r="H10" s="1"/>
    </row>
    <row r="11" spans="1:8" x14ac:dyDescent="0.3">
      <c r="A11" s="1"/>
      <c r="B11" s="1"/>
      <c r="C11" s="4">
        <v>1</v>
      </c>
      <c r="D11" s="4">
        <v>0</v>
      </c>
      <c r="E11" s="1">
        <f t="shared" si="0"/>
        <v>2.8571428939556087</v>
      </c>
      <c r="F11" s="1" t="s">
        <v>5</v>
      </c>
      <c r="G11" s="4">
        <v>0</v>
      </c>
      <c r="H11" s="6" t="s">
        <v>6</v>
      </c>
    </row>
    <row r="12" spans="1:8" x14ac:dyDescent="0.3">
      <c r="A12" s="1"/>
      <c r="B12" s="1"/>
      <c r="C12" s="4">
        <v>0</v>
      </c>
      <c r="D12" s="4">
        <v>1</v>
      </c>
      <c r="E12" s="1">
        <f t="shared" si="0"/>
        <v>3</v>
      </c>
      <c r="F12" s="1" t="s">
        <v>5</v>
      </c>
      <c r="G12" s="4">
        <v>0</v>
      </c>
      <c r="H12" s="6" t="s">
        <v>6</v>
      </c>
    </row>
    <row r="15" spans="1:8" x14ac:dyDescent="0.3">
      <c r="A15" t="s">
        <v>15</v>
      </c>
      <c r="B15" t="s">
        <v>16</v>
      </c>
    </row>
    <row r="16" spans="1:8" x14ac:dyDescent="0.3">
      <c r="B16" t="s">
        <v>17</v>
      </c>
    </row>
    <row r="17" spans="2:2" x14ac:dyDescent="0.3">
      <c r="B17" t="s">
        <v>19</v>
      </c>
    </row>
    <row r="18" spans="2:2" x14ac:dyDescent="0.3">
      <c r="B18" t="s">
        <v>18</v>
      </c>
    </row>
    <row r="20" spans="2:2" x14ac:dyDescent="0.3">
      <c r="B20" t="s">
        <v>28</v>
      </c>
    </row>
    <row r="21" spans="2:2" x14ac:dyDescent="0.3">
      <c r="B21" t="s">
        <v>29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74AF-DAF6-4F78-959B-C616BD22D3A0}">
  <dimension ref="A1:H19"/>
  <sheetViews>
    <sheetView workbookViewId="0">
      <selection activeCell="G13" sqref="G13"/>
    </sheetView>
  </sheetViews>
  <sheetFormatPr defaultRowHeight="14" x14ac:dyDescent="0.3"/>
  <cols>
    <col min="1" max="1" width="4.9140625" customWidth="1"/>
    <col min="2" max="2" width="3.08203125" customWidth="1"/>
    <col min="3" max="5" width="6.58203125" customWidth="1"/>
    <col min="6" max="6" width="3" customWidth="1"/>
    <col min="7" max="7" width="6.58203125" customWidth="1"/>
    <col min="8" max="8" width="7.1640625" customWidth="1"/>
  </cols>
  <sheetData>
    <row r="1" spans="1:8" x14ac:dyDescent="0.3">
      <c r="A1" s="1"/>
      <c r="B1" s="1"/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s="1"/>
      <c r="B2" s="1"/>
      <c r="C2" s="3">
        <v>2.0000000368127515</v>
      </c>
      <c r="D2" s="3">
        <v>0.50000000000000011</v>
      </c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 t="s">
        <v>11</v>
      </c>
      <c r="D4" s="1" t="s">
        <v>12</v>
      </c>
      <c r="E4" s="1"/>
      <c r="F4" s="1"/>
      <c r="G4" s="1" t="s">
        <v>9</v>
      </c>
      <c r="H4" s="1"/>
    </row>
    <row r="5" spans="1:8" x14ac:dyDescent="0.3">
      <c r="A5" s="1" t="s">
        <v>0</v>
      </c>
      <c r="B5" s="1" t="s">
        <v>1</v>
      </c>
      <c r="C5" s="4">
        <v>4</v>
      </c>
      <c r="D5" s="4">
        <v>-1</v>
      </c>
      <c r="E5" s="1"/>
      <c r="F5" s="1"/>
      <c r="G5" s="5">
        <f>C5*C2+D5*D2</f>
        <v>7.5000001472510061</v>
      </c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 t="s">
        <v>13</v>
      </c>
      <c r="D7" s="1" t="s">
        <v>14</v>
      </c>
      <c r="E7" s="2" t="s">
        <v>10</v>
      </c>
      <c r="F7" s="1"/>
      <c r="G7" s="1" t="s">
        <v>8</v>
      </c>
      <c r="H7" s="1"/>
    </row>
    <row r="8" spans="1:8" x14ac:dyDescent="0.3">
      <c r="A8" s="1" t="s">
        <v>7</v>
      </c>
      <c r="B8" s="1"/>
      <c r="C8" s="4">
        <v>7</v>
      </c>
      <c r="D8" s="4">
        <v>-2</v>
      </c>
      <c r="E8" s="1">
        <f t="shared" ref="E8:E13" si="0">C8*C$2+D8*D$2</f>
        <v>13.00000025768926</v>
      </c>
      <c r="F8" s="1" t="s">
        <v>4</v>
      </c>
      <c r="G8" s="4">
        <v>14</v>
      </c>
      <c r="H8" s="1"/>
    </row>
    <row r="9" spans="1:8" x14ac:dyDescent="0.3">
      <c r="A9" s="1"/>
      <c r="B9" s="1"/>
      <c r="C9" s="4">
        <v>0</v>
      </c>
      <c r="D9" s="4">
        <v>1</v>
      </c>
      <c r="E9" s="1">
        <f t="shared" si="0"/>
        <v>0.50000000000000011</v>
      </c>
      <c r="F9" s="1" t="s">
        <v>4</v>
      </c>
      <c r="G9" s="4">
        <v>3</v>
      </c>
      <c r="H9" s="1"/>
    </row>
    <row r="10" spans="1:8" x14ac:dyDescent="0.3">
      <c r="A10" s="1"/>
      <c r="B10" s="1"/>
      <c r="C10" s="4">
        <v>2</v>
      </c>
      <c r="D10" s="4">
        <v>-2</v>
      </c>
      <c r="E10" s="1">
        <f t="shared" si="0"/>
        <v>3.000000073625503</v>
      </c>
      <c r="F10" s="1" t="s">
        <v>4</v>
      </c>
      <c r="G10" s="4">
        <v>3</v>
      </c>
      <c r="H10" s="1"/>
    </row>
    <row r="11" spans="1:8" x14ac:dyDescent="0.3">
      <c r="A11" s="1"/>
      <c r="B11" s="1"/>
      <c r="C11" s="4">
        <v>1</v>
      </c>
      <c r="D11" s="4">
        <v>0</v>
      </c>
      <c r="E11" s="1">
        <f t="shared" si="0"/>
        <v>2.0000000368127515</v>
      </c>
      <c r="F11" s="1" t="s">
        <v>5</v>
      </c>
      <c r="G11" s="4">
        <v>0</v>
      </c>
      <c r="H11" s="6" t="s">
        <v>6</v>
      </c>
    </row>
    <row r="12" spans="1:8" x14ac:dyDescent="0.3">
      <c r="A12" s="1"/>
      <c r="B12" s="1"/>
      <c r="C12" s="4">
        <v>0</v>
      </c>
      <c r="D12" s="4">
        <v>1</v>
      </c>
      <c r="E12" s="1">
        <f t="shared" si="0"/>
        <v>0.50000000000000011</v>
      </c>
      <c r="F12" s="1" t="s">
        <v>5</v>
      </c>
      <c r="G12" s="4">
        <v>0</v>
      </c>
      <c r="H12" s="6" t="s">
        <v>6</v>
      </c>
    </row>
    <row r="13" spans="1:8" x14ac:dyDescent="0.3">
      <c r="C13" s="9">
        <v>1</v>
      </c>
      <c r="D13" s="9">
        <v>0</v>
      </c>
      <c r="E13" s="1">
        <f t="shared" si="0"/>
        <v>2.0000000368127515</v>
      </c>
      <c r="F13" s="1" t="s">
        <v>4</v>
      </c>
      <c r="G13" s="9">
        <v>2</v>
      </c>
    </row>
    <row r="15" spans="1:8" x14ac:dyDescent="0.3">
      <c r="A15" t="s">
        <v>15</v>
      </c>
      <c r="B15" t="s">
        <v>16</v>
      </c>
    </row>
    <row r="16" spans="1:8" x14ac:dyDescent="0.3">
      <c r="B16" t="s">
        <v>17</v>
      </c>
    </row>
    <row r="17" spans="2:2" x14ac:dyDescent="0.3">
      <c r="B17" t="s">
        <v>19</v>
      </c>
    </row>
    <row r="18" spans="2:2" x14ac:dyDescent="0.3">
      <c r="B18" t="s">
        <v>18</v>
      </c>
    </row>
    <row r="19" spans="2:2" x14ac:dyDescent="0.3">
      <c r="B19" t="s">
        <v>27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12C0-55D5-4F34-89FA-13452FBB7CCF}">
  <dimension ref="A1:H20"/>
  <sheetViews>
    <sheetView workbookViewId="0">
      <selection activeCell="G13" sqref="G13:G14"/>
    </sheetView>
  </sheetViews>
  <sheetFormatPr defaultRowHeight="14" x14ac:dyDescent="0.3"/>
  <cols>
    <col min="1" max="1" width="4.9140625" customWidth="1"/>
    <col min="2" max="2" width="3.08203125" customWidth="1"/>
    <col min="3" max="5" width="6.58203125" customWidth="1"/>
    <col min="6" max="6" width="3" customWidth="1"/>
    <col min="7" max="7" width="6.58203125" customWidth="1"/>
    <col min="8" max="8" width="7.1640625" customWidth="1"/>
  </cols>
  <sheetData>
    <row r="1" spans="1:8" x14ac:dyDescent="0.3">
      <c r="A1" s="1"/>
      <c r="B1" s="1"/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s="1"/>
      <c r="B2" s="1"/>
      <c r="C2" s="3">
        <v>1.4999999999999669</v>
      </c>
      <c r="D2" s="3">
        <v>0</v>
      </c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 t="s">
        <v>11</v>
      </c>
      <c r="D4" s="1" t="s">
        <v>12</v>
      </c>
      <c r="E4" s="1"/>
      <c r="F4" s="1"/>
      <c r="G4" s="1" t="s">
        <v>9</v>
      </c>
      <c r="H4" s="1"/>
    </row>
    <row r="5" spans="1:8" x14ac:dyDescent="0.3">
      <c r="A5" s="1" t="s">
        <v>0</v>
      </c>
      <c r="B5" s="1" t="s">
        <v>1</v>
      </c>
      <c r="C5" s="4">
        <v>4</v>
      </c>
      <c r="D5" s="4">
        <v>-1</v>
      </c>
      <c r="E5" s="1"/>
      <c r="F5" s="1"/>
      <c r="G5" s="5">
        <f>C5*C2+D5*D2</f>
        <v>5.9999999999998677</v>
      </c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 t="s">
        <v>13</v>
      </c>
      <c r="D7" s="1" t="s">
        <v>14</v>
      </c>
      <c r="E7" s="2" t="s">
        <v>10</v>
      </c>
      <c r="F7" s="1"/>
      <c r="G7" s="1" t="s">
        <v>8</v>
      </c>
      <c r="H7" s="1"/>
    </row>
    <row r="8" spans="1:8" x14ac:dyDescent="0.3">
      <c r="A8" s="1" t="s">
        <v>7</v>
      </c>
      <c r="B8" s="1"/>
      <c r="C8" s="4">
        <v>7</v>
      </c>
      <c r="D8" s="4">
        <v>-2</v>
      </c>
      <c r="E8" s="1">
        <f t="shared" ref="E8:E14" si="0">C8*C$2+D8*D$2</f>
        <v>10.499999999999769</v>
      </c>
      <c r="F8" s="1" t="s">
        <v>4</v>
      </c>
      <c r="G8" s="4">
        <v>14</v>
      </c>
      <c r="H8" s="1"/>
    </row>
    <row r="9" spans="1:8" x14ac:dyDescent="0.3">
      <c r="A9" s="1"/>
      <c r="B9" s="1"/>
      <c r="C9" s="4">
        <v>0</v>
      </c>
      <c r="D9" s="4">
        <v>1</v>
      </c>
      <c r="E9" s="1">
        <f t="shared" si="0"/>
        <v>0</v>
      </c>
      <c r="F9" s="1" t="s">
        <v>4</v>
      </c>
      <c r="G9" s="4">
        <v>3</v>
      </c>
      <c r="H9" s="1"/>
    </row>
    <row r="10" spans="1:8" x14ac:dyDescent="0.3">
      <c r="A10" s="1"/>
      <c r="B10" s="1"/>
      <c r="C10" s="4">
        <v>2</v>
      </c>
      <c r="D10" s="4">
        <v>-2</v>
      </c>
      <c r="E10" s="1">
        <f t="shared" si="0"/>
        <v>2.9999999999999338</v>
      </c>
      <c r="F10" s="1" t="s">
        <v>4</v>
      </c>
      <c r="G10" s="4">
        <v>3</v>
      </c>
      <c r="H10" s="1"/>
    </row>
    <row r="11" spans="1:8" x14ac:dyDescent="0.3">
      <c r="A11" s="1"/>
      <c r="B11" s="1"/>
      <c r="C11" s="4">
        <v>1</v>
      </c>
      <c r="D11" s="4">
        <v>0</v>
      </c>
      <c r="E11" s="1">
        <f t="shared" si="0"/>
        <v>1.4999999999999669</v>
      </c>
      <c r="F11" s="1" t="s">
        <v>5</v>
      </c>
      <c r="G11" s="4">
        <v>0</v>
      </c>
      <c r="H11" s="6" t="s">
        <v>6</v>
      </c>
    </row>
    <row r="12" spans="1:8" x14ac:dyDescent="0.3">
      <c r="A12" s="1"/>
      <c r="B12" s="1"/>
      <c r="C12" s="4">
        <v>0</v>
      </c>
      <c r="D12" s="4">
        <v>1</v>
      </c>
      <c r="E12" s="1">
        <f t="shared" si="0"/>
        <v>0</v>
      </c>
      <c r="F12" s="1" t="s">
        <v>5</v>
      </c>
      <c r="G12" s="4">
        <v>0</v>
      </c>
      <c r="H12" s="6" t="s">
        <v>6</v>
      </c>
    </row>
    <row r="13" spans="1:8" x14ac:dyDescent="0.3">
      <c r="C13" s="9">
        <v>1</v>
      </c>
      <c r="D13" s="9">
        <v>0</v>
      </c>
      <c r="E13" s="1">
        <f t="shared" si="0"/>
        <v>1.4999999999999669</v>
      </c>
      <c r="F13" s="1" t="s">
        <v>4</v>
      </c>
      <c r="G13" s="9">
        <v>2</v>
      </c>
    </row>
    <row r="14" spans="1:8" x14ac:dyDescent="0.3">
      <c r="C14" s="9">
        <v>0</v>
      </c>
      <c r="D14" s="9">
        <v>1</v>
      </c>
      <c r="E14" s="1">
        <f t="shared" si="0"/>
        <v>0</v>
      </c>
      <c r="F14" s="1" t="s">
        <v>4</v>
      </c>
      <c r="G14" s="9">
        <v>0</v>
      </c>
    </row>
    <row r="16" spans="1:8" x14ac:dyDescent="0.3">
      <c r="A16" t="s">
        <v>15</v>
      </c>
      <c r="B16" t="s">
        <v>16</v>
      </c>
    </row>
    <row r="17" spans="2:2" x14ac:dyDescent="0.3">
      <c r="B17" t="s">
        <v>17</v>
      </c>
    </row>
    <row r="18" spans="2:2" x14ac:dyDescent="0.3">
      <c r="B18" t="s">
        <v>19</v>
      </c>
    </row>
    <row r="19" spans="2:2" x14ac:dyDescent="0.3">
      <c r="B19" t="s">
        <v>18</v>
      </c>
    </row>
    <row r="20" spans="2:2" x14ac:dyDescent="0.3">
      <c r="B20" t="s">
        <v>27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E375-F6ED-4B1A-B9BF-CA32D523C152}">
  <dimension ref="A1:H23"/>
  <sheetViews>
    <sheetView workbookViewId="0">
      <selection activeCell="G13" sqref="G13:G15"/>
    </sheetView>
  </sheetViews>
  <sheetFormatPr defaultRowHeight="14" x14ac:dyDescent="0.3"/>
  <cols>
    <col min="1" max="1" width="4.9140625" customWidth="1"/>
    <col min="2" max="2" width="3.08203125" customWidth="1"/>
    <col min="3" max="5" width="6.58203125" customWidth="1"/>
    <col min="6" max="6" width="3" customWidth="1"/>
    <col min="7" max="7" width="6.58203125" customWidth="1"/>
    <col min="8" max="8" width="7.1640625" customWidth="1"/>
  </cols>
  <sheetData>
    <row r="1" spans="1:8" x14ac:dyDescent="0.3">
      <c r="A1" s="1"/>
      <c r="B1" s="1"/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s="1"/>
      <c r="B2" s="1"/>
      <c r="C2" s="3">
        <v>1</v>
      </c>
      <c r="D2" s="3">
        <v>0</v>
      </c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 t="s">
        <v>11</v>
      </c>
      <c r="D4" s="1" t="s">
        <v>12</v>
      </c>
      <c r="E4" s="1"/>
      <c r="F4" s="1"/>
      <c r="G4" s="1" t="s">
        <v>9</v>
      </c>
      <c r="H4" s="1"/>
    </row>
    <row r="5" spans="1:8" x14ac:dyDescent="0.3">
      <c r="A5" s="1" t="s">
        <v>0</v>
      </c>
      <c r="B5" s="1" t="s">
        <v>1</v>
      </c>
      <c r="C5" s="4">
        <v>4</v>
      </c>
      <c r="D5" s="4">
        <v>-1</v>
      </c>
      <c r="E5" s="1"/>
      <c r="F5" s="1"/>
      <c r="G5" s="5">
        <f>C5*C2+D5*D2</f>
        <v>4</v>
      </c>
      <c r="H5" s="8" t="s">
        <v>23</v>
      </c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 t="s">
        <v>13</v>
      </c>
      <c r="D7" s="1" t="s">
        <v>14</v>
      </c>
      <c r="E7" s="2" t="s">
        <v>10</v>
      </c>
      <c r="F7" s="1"/>
      <c r="G7" s="1" t="s">
        <v>8</v>
      </c>
      <c r="H7" s="1"/>
    </row>
    <row r="8" spans="1:8" x14ac:dyDescent="0.3">
      <c r="A8" s="1" t="s">
        <v>7</v>
      </c>
      <c r="B8" s="1"/>
      <c r="C8" s="4">
        <v>7</v>
      </c>
      <c r="D8" s="4">
        <v>-2</v>
      </c>
      <c r="E8" s="1">
        <f t="shared" ref="E8:E14" si="0">C8*C$2+D8*D$2</f>
        <v>7</v>
      </c>
      <c r="F8" s="1" t="s">
        <v>4</v>
      </c>
      <c r="G8" s="4">
        <v>14</v>
      </c>
      <c r="H8" s="1"/>
    </row>
    <row r="9" spans="1:8" x14ac:dyDescent="0.3">
      <c r="A9" s="1"/>
      <c r="B9" s="1"/>
      <c r="C9" s="4">
        <v>0</v>
      </c>
      <c r="D9" s="4">
        <v>1</v>
      </c>
      <c r="E9" s="1">
        <f t="shared" si="0"/>
        <v>0</v>
      </c>
      <c r="F9" s="1" t="s">
        <v>4</v>
      </c>
      <c r="G9" s="4">
        <v>3</v>
      </c>
      <c r="H9" s="1"/>
    </row>
    <row r="10" spans="1:8" x14ac:dyDescent="0.3">
      <c r="A10" s="1"/>
      <c r="B10" s="1"/>
      <c r="C10" s="4">
        <v>2</v>
      </c>
      <c r="D10" s="4">
        <v>-2</v>
      </c>
      <c r="E10" s="1">
        <f t="shared" si="0"/>
        <v>2</v>
      </c>
      <c r="F10" s="1" t="s">
        <v>4</v>
      </c>
      <c r="G10" s="4">
        <v>3</v>
      </c>
      <c r="H10" s="1"/>
    </row>
    <row r="11" spans="1:8" x14ac:dyDescent="0.3">
      <c r="A11" s="1"/>
      <c r="B11" s="1"/>
      <c r="C11" s="4">
        <v>1</v>
      </c>
      <c r="D11" s="4">
        <v>0</v>
      </c>
      <c r="E11" s="1">
        <f t="shared" si="0"/>
        <v>1</v>
      </c>
      <c r="F11" s="1" t="s">
        <v>5</v>
      </c>
      <c r="G11" s="4">
        <v>0</v>
      </c>
      <c r="H11" s="6" t="s">
        <v>6</v>
      </c>
    </row>
    <row r="12" spans="1:8" x14ac:dyDescent="0.3">
      <c r="A12" s="1"/>
      <c r="B12" s="1"/>
      <c r="C12" s="4">
        <v>0</v>
      </c>
      <c r="D12" s="4">
        <v>1</v>
      </c>
      <c r="E12" s="1">
        <f t="shared" si="0"/>
        <v>0</v>
      </c>
      <c r="F12" s="1" t="s">
        <v>5</v>
      </c>
      <c r="G12" s="4">
        <v>0</v>
      </c>
      <c r="H12" s="6" t="s">
        <v>6</v>
      </c>
    </row>
    <row r="13" spans="1:8" x14ac:dyDescent="0.3">
      <c r="C13" s="9">
        <v>1</v>
      </c>
      <c r="D13" s="9">
        <v>0</v>
      </c>
      <c r="E13" s="1">
        <f t="shared" si="0"/>
        <v>1</v>
      </c>
      <c r="F13" s="1" t="s">
        <v>4</v>
      </c>
      <c r="G13" s="9">
        <v>2</v>
      </c>
    </row>
    <row r="14" spans="1:8" x14ac:dyDescent="0.3">
      <c r="C14" s="9">
        <v>0</v>
      </c>
      <c r="D14" s="9">
        <v>1</v>
      </c>
      <c r="E14" s="1">
        <f t="shared" si="0"/>
        <v>0</v>
      </c>
      <c r="F14" s="1" t="s">
        <v>4</v>
      </c>
      <c r="G14" s="9">
        <v>0</v>
      </c>
    </row>
    <row r="15" spans="1:8" x14ac:dyDescent="0.3">
      <c r="C15" s="9">
        <v>1</v>
      </c>
      <c r="D15" s="9">
        <v>0</v>
      </c>
      <c r="E15" s="1">
        <f t="shared" ref="E15" si="1">C15*C$2+D15*D$2</f>
        <v>1</v>
      </c>
      <c r="F15" s="1" t="s">
        <v>4</v>
      </c>
      <c r="G15" s="9">
        <v>1</v>
      </c>
    </row>
    <row r="17" spans="1:2" x14ac:dyDescent="0.3">
      <c r="A17" t="s">
        <v>15</v>
      </c>
      <c r="B17" t="s">
        <v>16</v>
      </c>
    </row>
    <row r="18" spans="1:2" x14ac:dyDescent="0.3">
      <c r="B18" t="s">
        <v>17</v>
      </c>
    </row>
    <row r="19" spans="1:2" x14ac:dyDescent="0.3">
      <c r="B19" t="s">
        <v>19</v>
      </c>
    </row>
    <row r="20" spans="1:2" x14ac:dyDescent="0.3">
      <c r="B20" t="s">
        <v>18</v>
      </c>
    </row>
    <row r="21" spans="1:2" x14ac:dyDescent="0.3">
      <c r="B21" t="s">
        <v>27</v>
      </c>
    </row>
    <row r="22" spans="1:2" x14ac:dyDescent="0.3">
      <c r="B22" s="7" t="s">
        <v>20</v>
      </c>
    </row>
    <row r="23" spans="1:2" x14ac:dyDescent="0.3">
      <c r="B23" s="7" t="s">
        <v>22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113A-995A-40D7-A1B8-1C3C344C0A57}">
  <dimension ref="A1:H22"/>
  <sheetViews>
    <sheetView workbookViewId="0">
      <selection activeCell="G13" sqref="G13:G15"/>
    </sheetView>
  </sheetViews>
  <sheetFormatPr defaultRowHeight="14" x14ac:dyDescent="0.3"/>
  <cols>
    <col min="1" max="1" width="4.9140625" customWidth="1"/>
    <col min="2" max="2" width="3.08203125" customWidth="1"/>
    <col min="3" max="5" width="6.58203125" customWidth="1"/>
    <col min="6" max="6" width="3" customWidth="1"/>
    <col min="7" max="7" width="6.58203125" customWidth="1"/>
    <col min="8" max="8" width="7.1640625" customWidth="1"/>
  </cols>
  <sheetData>
    <row r="1" spans="1:8" x14ac:dyDescent="0.3">
      <c r="A1" s="1"/>
      <c r="B1" s="1"/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s="1"/>
      <c r="B2" s="1"/>
      <c r="C2" s="3">
        <v>1.4999999910593207</v>
      </c>
      <c r="D2" s="3">
        <v>0</v>
      </c>
      <c r="E2" s="1"/>
      <c r="F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 t="s">
        <v>11</v>
      </c>
      <c r="D4" s="1" t="s">
        <v>12</v>
      </c>
      <c r="E4" s="1"/>
      <c r="F4" s="1"/>
      <c r="G4" s="1" t="s">
        <v>9</v>
      </c>
      <c r="H4" s="1"/>
    </row>
    <row r="5" spans="1:8" x14ac:dyDescent="0.3">
      <c r="A5" s="1" t="s">
        <v>0</v>
      </c>
      <c r="B5" s="1" t="s">
        <v>1</v>
      </c>
      <c r="C5" s="4">
        <v>4</v>
      </c>
      <c r="D5" s="4">
        <v>-1</v>
      </c>
      <c r="E5" s="1"/>
      <c r="F5" s="1"/>
      <c r="G5" s="5">
        <f>C5*C2+D5*D2</f>
        <v>5.9999999642372828</v>
      </c>
      <c r="H5" s="8" t="s">
        <v>26</v>
      </c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 t="s">
        <v>13</v>
      </c>
      <c r="D7" s="1" t="s">
        <v>14</v>
      </c>
      <c r="E7" s="2" t="s">
        <v>10</v>
      </c>
      <c r="F7" s="1"/>
      <c r="G7" s="1" t="s">
        <v>8</v>
      </c>
      <c r="H7" s="1"/>
    </row>
    <row r="8" spans="1:8" x14ac:dyDescent="0.3">
      <c r="A8" s="1" t="s">
        <v>7</v>
      </c>
      <c r="B8" s="1"/>
      <c r="C8" s="4">
        <v>7</v>
      </c>
      <c r="D8" s="4">
        <v>-2</v>
      </c>
      <c r="E8" s="1">
        <f t="shared" ref="E8:E15" si="0">C8*C$2+D8*D$2</f>
        <v>10.499999937415245</v>
      </c>
      <c r="F8" s="1" t="s">
        <v>4</v>
      </c>
      <c r="G8" s="4">
        <v>14</v>
      </c>
      <c r="H8" s="1"/>
    </row>
    <row r="9" spans="1:8" x14ac:dyDescent="0.3">
      <c r="A9" s="1"/>
      <c r="B9" s="1"/>
      <c r="C9" s="4">
        <v>0</v>
      </c>
      <c r="D9" s="4">
        <v>1</v>
      </c>
      <c r="E9" s="1">
        <f t="shared" si="0"/>
        <v>0</v>
      </c>
      <c r="F9" s="1" t="s">
        <v>4</v>
      </c>
      <c r="G9" s="4">
        <v>3</v>
      </c>
      <c r="H9" s="1"/>
    </row>
    <row r="10" spans="1:8" x14ac:dyDescent="0.3">
      <c r="A10" s="1"/>
      <c r="B10" s="1"/>
      <c r="C10" s="4">
        <v>2</v>
      </c>
      <c r="D10" s="4">
        <v>-2</v>
      </c>
      <c r="E10" s="1">
        <f t="shared" si="0"/>
        <v>2.9999999821186414</v>
      </c>
      <c r="F10" s="1" t="s">
        <v>4</v>
      </c>
      <c r="G10" s="4">
        <v>3</v>
      </c>
      <c r="H10" s="1"/>
    </row>
    <row r="11" spans="1:8" x14ac:dyDescent="0.3">
      <c r="A11" s="1"/>
      <c r="B11" s="1"/>
      <c r="C11" s="4">
        <v>1</v>
      </c>
      <c r="D11" s="4">
        <v>0</v>
      </c>
      <c r="E11" s="1">
        <f t="shared" si="0"/>
        <v>1.4999999910593207</v>
      </c>
      <c r="F11" s="1" t="s">
        <v>5</v>
      </c>
      <c r="G11" s="4">
        <v>0</v>
      </c>
      <c r="H11" s="6" t="s">
        <v>6</v>
      </c>
    </row>
    <row r="12" spans="1:8" x14ac:dyDescent="0.3">
      <c r="A12" s="1"/>
      <c r="B12" s="1"/>
      <c r="C12" s="4">
        <v>0</v>
      </c>
      <c r="D12" s="4">
        <v>1</v>
      </c>
      <c r="E12" s="1">
        <f t="shared" si="0"/>
        <v>0</v>
      </c>
      <c r="F12" s="1" t="s">
        <v>5</v>
      </c>
      <c r="G12" s="4">
        <v>0</v>
      </c>
      <c r="H12" s="6" t="s">
        <v>6</v>
      </c>
    </row>
    <row r="13" spans="1:8" x14ac:dyDescent="0.3">
      <c r="C13" s="9">
        <v>1</v>
      </c>
      <c r="D13" s="9">
        <v>0</v>
      </c>
      <c r="E13" s="1">
        <f t="shared" si="0"/>
        <v>1.4999999910593207</v>
      </c>
      <c r="F13" s="1" t="s">
        <v>4</v>
      </c>
      <c r="G13" s="9">
        <v>2</v>
      </c>
    </row>
    <row r="14" spans="1:8" x14ac:dyDescent="0.3">
      <c r="C14" s="9">
        <v>0</v>
      </c>
      <c r="D14" s="9">
        <v>1</v>
      </c>
      <c r="E14" s="1">
        <f t="shared" si="0"/>
        <v>0</v>
      </c>
      <c r="F14" s="1" t="s">
        <v>4</v>
      </c>
      <c r="G14" s="9">
        <v>0</v>
      </c>
    </row>
    <row r="15" spans="1:8" x14ac:dyDescent="0.3">
      <c r="C15" s="9">
        <v>1</v>
      </c>
      <c r="D15" s="9">
        <v>0</v>
      </c>
      <c r="E15" s="1">
        <f t="shared" si="0"/>
        <v>1.4999999910593207</v>
      </c>
      <c r="F15" s="1" t="s">
        <v>5</v>
      </c>
      <c r="G15" s="9">
        <v>2</v>
      </c>
    </row>
    <row r="17" spans="1:2" x14ac:dyDescent="0.3">
      <c r="A17" t="s">
        <v>15</v>
      </c>
      <c r="B17" t="s">
        <v>16</v>
      </c>
    </row>
    <row r="18" spans="1:2" x14ac:dyDescent="0.3">
      <c r="B18" t="s">
        <v>17</v>
      </c>
    </row>
    <row r="19" spans="1:2" x14ac:dyDescent="0.3">
      <c r="B19" t="s">
        <v>19</v>
      </c>
    </row>
    <row r="20" spans="1:2" x14ac:dyDescent="0.3">
      <c r="B20" t="s">
        <v>18</v>
      </c>
    </row>
    <row r="21" spans="1:2" x14ac:dyDescent="0.3">
      <c r="B21" t="s">
        <v>27</v>
      </c>
    </row>
    <row r="22" spans="1:2" x14ac:dyDescent="0.3">
      <c r="B22" s="7" t="s">
        <v>21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D4D4-0111-453D-83BE-FDB29C6B43E5}">
  <dimension ref="A1:H22"/>
  <sheetViews>
    <sheetView tabSelected="1" workbookViewId="0">
      <selection activeCell="G13" sqref="G13:G14"/>
    </sheetView>
  </sheetViews>
  <sheetFormatPr defaultRowHeight="14" x14ac:dyDescent="0.3"/>
  <cols>
    <col min="1" max="1" width="4.9140625" customWidth="1"/>
    <col min="2" max="2" width="3.08203125" customWidth="1"/>
    <col min="3" max="5" width="6.58203125" customWidth="1"/>
    <col min="6" max="6" width="3" customWidth="1"/>
    <col min="7" max="7" width="6.58203125" customWidth="1"/>
    <col min="8" max="8" width="7.1640625" customWidth="1"/>
  </cols>
  <sheetData>
    <row r="1" spans="1:8" x14ac:dyDescent="0.3">
      <c r="A1" s="1"/>
      <c r="B1" s="1"/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s="1"/>
      <c r="B2" s="1"/>
      <c r="C2" s="3">
        <v>2.0000014999999998</v>
      </c>
      <c r="D2" s="3">
        <v>1</v>
      </c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 t="s">
        <v>11</v>
      </c>
      <c r="D4" s="1" t="s">
        <v>12</v>
      </c>
      <c r="E4" s="1"/>
      <c r="F4" s="1"/>
      <c r="G4" s="1" t="s">
        <v>9</v>
      </c>
      <c r="H4" s="1"/>
    </row>
    <row r="5" spans="1:8" x14ac:dyDescent="0.3">
      <c r="A5" s="1" t="s">
        <v>0</v>
      </c>
      <c r="B5" s="1" t="s">
        <v>1</v>
      </c>
      <c r="C5" s="4">
        <v>4</v>
      </c>
      <c r="D5" s="4">
        <v>-1</v>
      </c>
      <c r="E5" s="1"/>
      <c r="F5" s="1"/>
      <c r="G5" s="5">
        <f>C5*C2+D5*D2</f>
        <v>7.0000059999999991</v>
      </c>
      <c r="H5" s="8" t="s">
        <v>24</v>
      </c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 t="s">
        <v>13</v>
      </c>
      <c r="D7" s="1" t="s">
        <v>14</v>
      </c>
      <c r="E7" s="2" t="s">
        <v>10</v>
      </c>
      <c r="F7" s="1"/>
      <c r="G7" s="1" t="s">
        <v>8</v>
      </c>
      <c r="H7" s="1"/>
    </row>
    <row r="8" spans="1:8" x14ac:dyDescent="0.3">
      <c r="A8" s="1" t="s">
        <v>7</v>
      </c>
      <c r="B8" s="1"/>
      <c r="C8" s="4">
        <v>7</v>
      </c>
      <c r="D8" s="4">
        <v>-2</v>
      </c>
      <c r="E8" s="1">
        <f t="shared" ref="E8:E14" si="0">C8*C$2+D8*D$2</f>
        <v>12.000010499999998</v>
      </c>
      <c r="F8" s="1" t="s">
        <v>4</v>
      </c>
      <c r="G8" s="4">
        <v>14</v>
      </c>
      <c r="H8" s="1"/>
    </row>
    <row r="9" spans="1:8" x14ac:dyDescent="0.3">
      <c r="A9" s="1"/>
      <c r="B9" s="1"/>
      <c r="C9" s="4">
        <v>0</v>
      </c>
      <c r="D9" s="4">
        <v>1</v>
      </c>
      <c r="E9" s="1">
        <f t="shared" si="0"/>
        <v>1</v>
      </c>
      <c r="F9" s="1" t="s">
        <v>4</v>
      </c>
      <c r="G9" s="4">
        <v>3</v>
      </c>
      <c r="H9" s="1"/>
    </row>
    <row r="10" spans="1:8" x14ac:dyDescent="0.3">
      <c r="A10" s="1"/>
      <c r="B10" s="1"/>
      <c r="C10" s="4">
        <v>2</v>
      </c>
      <c r="D10" s="4">
        <v>-2</v>
      </c>
      <c r="E10" s="1">
        <f t="shared" si="0"/>
        <v>2.0000029999999995</v>
      </c>
      <c r="F10" s="1" t="s">
        <v>4</v>
      </c>
      <c r="G10" s="4">
        <v>3</v>
      </c>
      <c r="H10" s="1"/>
    </row>
    <row r="11" spans="1:8" x14ac:dyDescent="0.3">
      <c r="A11" s="1"/>
      <c r="B11" s="1"/>
      <c r="C11" s="4">
        <v>1</v>
      </c>
      <c r="D11" s="4">
        <v>0</v>
      </c>
      <c r="E11" s="1">
        <f t="shared" si="0"/>
        <v>2.0000014999999998</v>
      </c>
      <c r="F11" s="1" t="s">
        <v>5</v>
      </c>
      <c r="G11" s="4">
        <v>0</v>
      </c>
      <c r="H11" s="6" t="s">
        <v>6</v>
      </c>
    </row>
    <row r="12" spans="1:8" x14ac:dyDescent="0.3">
      <c r="A12" s="1"/>
      <c r="B12" s="1"/>
      <c r="C12" s="4">
        <v>0</v>
      </c>
      <c r="D12" s="4">
        <v>1</v>
      </c>
      <c r="E12" s="1">
        <f t="shared" si="0"/>
        <v>1</v>
      </c>
      <c r="F12" s="1" t="s">
        <v>5</v>
      </c>
      <c r="G12" s="4">
        <v>0</v>
      </c>
      <c r="H12" s="6" t="s">
        <v>6</v>
      </c>
    </row>
    <row r="13" spans="1:8" x14ac:dyDescent="0.3">
      <c r="C13" s="9">
        <v>1</v>
      </c>
      <c r="D13" s="9">
        <v>0</v>
      </c>
      <c r="E13" s="1">
        <f t="shared" si="0"/>
        <v>2.0000014999999998</v>
      </c>
      <c r="F13" s="1" t="s">
        <v>4</v>
      </c>
      <c r="G13" s="9">
        <v>2</v>
      </c>
    </row>
    <row r="14" spans="1:8" x14ac:dyDescent="0.3">
      <c r="C14" s="9">
        <v>0</v>
      </c>
      <c r="D14" s="9">
        <v>1</v>
      </c>
      <c r="E14" s="1">
        <f t="shared" si="0"/>
        <v>1</v>
      </c>
      <c r="F14" s="1" t="s">
        <v>5</v>
      </c>
      <c r="G14" s="9">
        <v>1</v>
      </c>
    </row>
    <row r="16" spans="1:8" x14ac:dyDescent="0.3">
      <c r="A16" t="s">
        <v>15</v>
      </c>
      <c r="B16" t="s">
        <v>16</v>
      </c>
    </row>
    <row r="17" spans="2:2" x14ac:dyDescent="0.3">
      <c r="B17" t="s">
        <v>17</v>
      </c>
    </row>
    <row r="18" spans="2:2" x14ac:dyDescent="0.3">
      <c r="B18" t="s">
        <v>19</v>
      </c>
    </row>
    <row r="19" spans="2:2" x14ac:dyDescent="0.3">
      <c r="B19" t="s">
        <v>18</v>
      </c>
    </row>
    <row r="20" spans="2:2" x14ac:dyDescent="0.3">
      <c r="B20" t="s">
        <v>27</v>
      </c>
    </row>
    <row r="21" spans="2:2" x14ac:dyDescent="0.3">
      <c r="B21" s="7" t="s">
        <v>20</v>
      </c>
    </row>
    <row r="22" spans="2:2" x14ac:dyDescent="0.3">
      <c r="B22" s="7" t="s">
        <v>25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D922-6D19-4E60-8364-0621AB175648}">
  <dimension ref="A1:H20"/>
  <sheetViews>
    <sheetView workbookViewId="0">
      <selection activeCell="J20" sqref="J20"/>
    </sheetView>
  </sheetViews>
  <sheetFormatPr defaultRowHeight="14" x14ac:dyDescent="0.3"/>
  <cols>
    <col min="1" max="1" width="4.9140625" customWidth="1"/>
    <col min="2" max="2" width="3.08203125" customWidth="1"/>
    <col min="3" max="5" width="6.58203125" customWidth="1"/>
    <col min="6" max="6" width="3" customWidth="1"/>
    <col min="7" max="7" width="6.58203125" customWidth="1"/>
    <col min="8" max="8" width="7.1640625" customWidth="1"/>
  </cols>
  <sheetData>
    <row r="1" spans="1:8" x14ac:dyDescent="0.3">
      <c r="A1" s="1"/>
      <c r="B1" s="1"/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s="1"/>
      <c r="B2" s="1"/>
      <c r="C2" s="3">
        <v>2.857143708325288</v>
      </c>
      <c r="D2" s="3">
        <v>3.0000029999999995</v>
      </c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 t="s">
        <v>11</v>
      </c>
      <c r="D4" s="1" t="s">
        <v>12</v>
      </c>
      <c r="E4" s="1"/>
      <c r="F4" s="1"/>
      <c r="G4" s="1" t="s">
        <v>9</v>
      </c>
      <c r="H4" s="1"/>
    </row>
    <row r="5" spans="1:8" x14ac:dyDescent="0.3">
      <c r="A5" s="1" t="s">
        <v>0</v>
      </c>
      <c r="B5" s="1" t="s">
        <v>1</v>
      </c>
      <c r="C5" s="4">
        <v>4</v>
      </c>
      <c r="D5" s="4">
        <v>-1</v>
      </c>
      <c r="E5" s="1"/>
      <c r="F5" s="1"/>
      <c r="G5" s="5">
        <f>C5*C2+D5*D2</f>
        <v>8.4285718333011523</v>
      </c>
      <c r="H5" s="8" t="s">
        <v>26</v>
      </c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 t="s">
        <v>13</v>
      </c>
      <c r="D7" s="1" t="s">
        <v>14</v>
      </c>
      <c r="E7" s="2" t="s">
        <v>10</v>
      </c>
      <c r="F7" s="1"/>
      <c r="G7" s="1" t="s">
        <v>8</v>
      </c>
      <c r="H7" s="1"/>
    </row>
    <row r="8" spans="1:8" x14ac:dyDescent="0.3">
      <c r="A8" s="1" t="s">
        <v>7</v>
      </c>
      <c r="B8" s="1"/>
      <c r="C8" s="4">
        <v>7</v>
      </c>
      <c r="D8" s="4">
        <v>-2</v>
      </c>
      <c r="E8" s="1">
        <f t="shared" ref="E8:E13" si="0">C8*C$2+D8*D$2</f>
        <v>13.999999958277016</v>
      </c>
      <c r="F8" s="1" t="s">
        <v>4</v>
      </c>
      <c r="G8" s="4">
        <v>14</v>
      </c>
      <c r="H8" s="1"/>
    </row>
    <row r="9" spans="1:8" x14ac:dyDescent="0.3">
      <c r="A9" s="1"/>
      <c r="B9" s="1"/>
      <c r="C9" s="4">
        <v>0</v>
      </c>
      <c r="D9" s="4">
        <v>1</v>
      </c>
      <c r="E9" s="1">
        <f t="shared" si="0"/>
        <v>3.0000029999999995</v>
      </c>
      <c r="F9" s="1" t="s">
        <v>4</v>
      </c>
      <c r="G9" s="4">
        <v>3</v>
      </c>
      <c r="H9" s="1"/>
    </row>
    <row r="10" spans="1:8" x14ac:dyDescent="0.3">
      <c r="A10" s="1"/>
      <c r="B10" s="1"/>
      <c r="C10" s="4">
        <v>2</v>
      </c>
      <c r="D10" s="4">
        <v>-2</v>
      </c>
      <c r="E10" s="1">
        <f t="shared" si="0"/>
        <v>-0.28571858334942313</v>
      </c>
      <c r="F10" s="1" t="s">
        <v>4</v>
      </c>
      <c r="G10" s="4">
        <v>3</v>
      </c>
      <c r="H10" s="1"/>
    </row>
    <row r="11" spans="1:8" x14ac:dyDescent="0.3">
      <c r="A11" s="1"/>
      <c r="B11" s="1"/>
      <c r="C11" s="4">
        <v>1</v>
      </c>
      <c r="D11" s="4">
        <v>0</v>
      </c>
      <c r="E11" s="1">
        <f t="shared" si="0"/>
        <v>2.857143708325288</v>
      </c>
      <c r="F11" s="1" t="s">
        <v>5</v>
      </c>
      <c r="G11" s="4">
        <v>0</v>
      </c>
      <c r="H11" s="6" t="s">
        <v>6</v>
      </c>
    </row>
    <row r="12" spans="1:8" x14ac:dyDescent="0.3">
      <c r="A12" s="1"/>
      <c r="B12" s="1"/>
      <c r="C12" s="4">
        <v>0</v>
      </c>
      <c r="D12" s="4">
        <v>1</v>
      </c>
      <c r="E12" s="1">
        <f t="shared" si="0"/>
        <v>3.0000029999999995</v>
      </c>
      <c r="F12" s="1" t="s">
        <v>5</v>
      </c>
      <c r="G12" s="4">
        <v>0</v>
      </c>
      <c r="H12" s="6" t="s">
        <v>6</v>
      </c>
    </row>
    <row r="13" spans="1:8" x14ac:dyDescent="0.3">
      <c r="C13" s="9">
        <v>1</v>
      </c>
      <c r="D13" s="9">
        <v>0</v>
      </c>
      <c r="E13" s="1">
        <f t="shared" si="0"/>
        <v>2.857143708325288</v>
      </c>
      <c r="F13" s="1" t="s">
        <v>5</v>
      </c>
      <c r="G13" s="9">
        <v>3</v>
      </c>
    </row>
    <row r="15" spans="1:8" x14ac:dyDescent="0.3">
      <c r="A15" t="s">
        <v>15</v>
      </c>
      <c r="B15" t="s">
        <v>16</v>
      </c>
    </row>
    <row r="16" spans="1:8" x14ac:dyDescent="0.3">
      <c r="B16" t="s">
        <v>17</v>
      </c>
    </row>
    <row r="17" spans="2:2" x14ac:dyDescent="0.3">
      <c r="B17" t="s">
        <v>19</v>
      </c>
    </row>
    <row r="18" spans="2:2" x14ac:dyDescent="0.3">
      <c r="B18" t="s">
        <v>18</v>
      </c>
    </row>
    <row r="19" spans="2:2" x14ac:dyDescent="0.3">
      <c r="B19" t="s">
        <v>27</v>
      </c>
    </row>
    <row r="20" spans="2:2" x14ac:dyDescent="0.3">
      <c r="B20" s="7" t="s">
        <v>21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Root</vt:lpstr>
      <vt:lpstr>S1</vt:lpstr>
      <vt:lpstr>S3</vt:lpstr>
      <vt:lpstr>S7</vt:lpstr>
      <vt:lpstr>S8</vt:lpstr>
      <vt:lpstr>S4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Peter</dc:creator>
  <cp:lastModifiedBy>JY Peter</cp:lastModifiedBy>
  <dcterms:created xsi:type="dcterms:W3CDTF">2025-12-09T08:55:08Z</dcterms:created>
  <dcterms:modified xsi:type="dcterms:W3CDTF">2025-12-09T13:07:52Z</dcterms:modified>
</cp:coreProperties>
</file>
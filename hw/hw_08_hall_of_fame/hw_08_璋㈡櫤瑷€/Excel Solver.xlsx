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B05CEB67-3312-49B9-9DAD-41BB9FFEC9A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definedNames>
    <definedName name="solver_adj" localSheetId="0" hidden="1">Sheet1!$B$2:$E$5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Sheet1!$B$11:$D$11</definedName>
    <definedName name="solver_lhs2" localSheetId="0" hidden="1">Sheet1!$B$21</definedName>
    <definedName name="solver_lhs3" localSheetId="0" hidden="1">Sheet1!$B$22</definedName>
    <definedName name="solver_lhs4" localSheetId="0" hidden="1">Sheet1!$B$23</definedName>
    <definedName name="solver_lhs5" localSheetId="0" hidden="1">Sheet1!$B$2:$D$5</definedName>
    <definedName name="solver_lhs6" localSheetId="0" hidden="1">Sheet1!$E$2:$E$5</definedName>
    <definedName name="solver_lhs7" localSheetId="0" hidden="1">Sheet1!$F$2:$F$5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Sheet1!$H$19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el5" localSheetId="0" hidden="1">4</definedName>
    <definedName name="solver_rel6" localSheetId="0" hidden="1">4</definedName>
    <definedName name="solver_rel7" localSheetId="0" hidden="1">1</definedName>
    <definedName name="solver_rhs1" localSheetId="0" hidden="1">Sheet1!$B$12:$D$12</definedName>
    <definedName name="solver_rhs2" localSheetId="0" hidden="1">Sheet1!$C$21</definedName>
    <definedName name="solver_rhs3" localSheetId="0" hidden="1">Sheet1!$C$22</definedName>
    <definedName name="solver_rhs4" localSheetId="0" hidden="1">Sheet1!$C$23</definedName>
    <definedName name="solver_rhs5" localSheetId="0" hidden="1">"整数"</definedName>
    <definedName name="solver_rhs6" localSheetId="0" hidden="1">"整数"</definedName>
    <definedName name="solver_rhs7" localSheetId="0" hidden="1">Sheet1!$I$2:$I$5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/>
  <c r="I2" i="1"/>
  <c r="F5" i="1"/>
  <c r="F4" i="1"/>
  <c r="F3" i="1"/>
  <c r="F2" i="1"/>
  <c r="D11" i="1"/>
  <c r="C11" i="1"/>
  <c r="B11" i="1"/>
  <c r="B23" i="1"/>
  <c r="C22" i="1"/>
  <c r="B22" i="1"/>
  <c r="B21" i="1"/>
  <c r="H5" i="1"/>
  <c r="H4" i="1"/>
  <c r="H3" i="1"/>
  <c r="H2" i="1"/>
  <c r="D17" i="1"/>
  <c r="D16" i="1"/>
  <c r="D15" i="1"/>
  <c r="C17" i="1"/>
  <c r="C16" i="1"/>
  <c r="C15" i="1"/>
  <c r="B17" i="1"/>
  <c r="B16" i="1"/>
  <c r="B15" i="1"/>
  <c r="D14" i="1"/>
  <c r="C14" i="1"/>
  <c r="B14" i="1"/>
  <c r="E14" i="1" l="1"/>
  <c r="E15" i="1"/>
  <c r="E17" i="1"/>
  <c r="E16" i="1"/>
  <c r="H6" i="1"/>
  <c r="E19" i="1" l="1"/>
  <c r="H19" i="1" s="1"/>
</calcChain>
</file>

<file path=xl/sharedStrings.xml><?xml version="1.0" encoding="utf-8"?>
<sst xmlns="http://schemas.openxmlformats.org/spreadsheetml/2006/main" count="24" uniqueCount="24">
  <si>
    <t>city1</t>
    <phoneticPr fontId="1" type="noConversion"/>
  </si>
  <si>
    <t>city2</t>
    <phoneticPr fontId="1" type="noConversion"/>
  </si>
  <si>
    <t>city3</t>
    <phoneticPr fontId="1" type="noConversion"/>
  </si>
  <si>
    <t>city4</t>
    <phoneticPr fontId="1" type="noConversion"/>
  </si>
  <si>
    <t>region1</t>
    <phoneticPr fontId="1" type="noConversion"/>
  </si>
  <si>
    <t>region2</t>
    <phoneticPr fontId="1" type="noConversion"/>
  </si>
  <si>
    <t>region3</t>
    <phoneticPr fontId="1" type="noConversion"/>
  </si>
  <si>
    <t>y</t>
    <phoneticPr fontId="1" type="noConversion"/>
  </si>
  <si>
    <t>b</t>
    <phoneticPr fontId="1" type="noConversion"/>
  </si>
  <si>
    <t>aij</t>
    <phoneticPr fontId="1" type="noConversion"/>
  </si>
  <si>
    <t>c</t>
    <phoneticPr fontId="1" type="noConversion"/>
  </si>
  <si>
    <t>Aij*Xij</t>
    <phoneticPr fontId="1" type="noConversion"/>
  </si>
  <si>
    <t>y*c</t>
    <phoneticPr fontId="1" type="noConversion"/>
  </si>
  <si>
    <t>sum of y*c</t>
    <phoneticPr fontId="1" type="noConversion"/>
  </si>
  <si>
    <t>sum of ax</t>
    <phoneticPr fontId="1" type="noConversion"/>
  </si>
  <si>
    <t>constraints</t>
    <phoneticPr fontId="1" type="noConversion"/>
  </si>
  <si>
    <t>sum y</t>
    <phoneticPr fontId="1" type="noConversion"/>
  </si>
  <si>
    <t>y1y2</t>
    <phoneticPr fontId="1" type="noConversion"/>
  </si>
  <si>
    <t>y2+y4</t>
    <phoneticPr fontId="1" type="noConversion"/>
  </si>
  <si>
    <t>sum xi</t>
    <phoneticPr fontId="1" type="noConversion"/>
  </si>
  <si>
    <t>sum xj</t>
    <phoneticPr fontId="1" type="noConversion"/>
  </si>
  <si>
    <t>100*y</t>
    <phoneticPr fontId="1" type="noConversion"/>
  </si>
  <si>
    <t>Total cost</t>
    <phoneticPr fontId="1" type="noConversion"/>
  </si>
  <si>
    <t>sum AijXij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</si>
</sst>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C5" sqref="C5"/>
    </sheetView>
  </sheetViews>
  <sheetFormatPr defaultRowHeight="13.9" x14ac:dyDescent="0.4"/>
  <sheetData>
    <row r="1" spans="1:9" x14ac:dyDescent="0.4">
      <c r="B1" t="s">
        <v>4</v>
      </c>
      <c r="C1" t="s">
        <v>5</v>
      </c>
      <c r="D1" t="s">
        <v>6</v>
      </c>
      <c r="E1" t="s">
        <v>7</v>
      </c>
      <c r="F1" t="s">
        <v>20</v>
      </c>
      <c r="G1" t="s">
        <v>10</v>
      </c>
      <c r="H1" t="s">
        <v>12</v>
      </c>
      <c r="I1" t="s">
        <v>21</v>
      </c>
    </row>
    <row r="2" spans="1:9" x14ac:dyDescent="0.4">
      <c r="A2" t="s">
        <v>0</v>
      </c>
      <c r="B2">
        <v>0</v>
      </c>
      <c r="C2">
        <v>0</v>
      </c>
      <c r="D2">
        <v>0</v>
      </c>
      <c r="E2">
        <v>0</v>
      </c>
      <c r="F2">
        <f>B2+C2+D2</f>
        <v>0</v>
      </c>
      <c r="G2">
        <v>400</v>
      </c>
      <c r="H2">
        <f>G2*E2</f>
        <v>0</v>
      </c>
      <c r="I2">
        <f>100*E2</f>
        <v>0</v>
      </c>
    </row>
    <row r="3" spans="1:9" x14ac:dyDescent="0.4">
      <c r="A3" t="s">
        <v>1</v>
      </c>
      <c r="B3">
        <v>0</v>
      </c>
      <c r="C3">
        <v>70</v>
      </c>
      <c r="D3">
        <v>30</v>
      </c>
      <c r="E3">
        <v>1</v>
      </c>
      <c r="F3">
        <f>B3+C3+D3</f>
        <v>100</v>
      </c>
      <c r="G3">
        <v>500</v>
      </c>
      <c r="H3">
        <f>G3*E3</f>
        <v>500</v>
      </c>
      <c r="I3">
        <f>100*E3</f>
        <v>100</v>
      </c>
    </row>
    <row r="4" spans="1:9" x14ac:dyDescent="0.4">
      <c r="A4" t="s">
        <v>2</v>
      </c>
      <c r="B4">
        <v>0</v>
      </c>
      <c r="C4">
        <v>0</v>
      </c>
      <c r="D4">
        <v>0</v>
      </c>
      <c r="E4">
        <v>0</v>
      </c>
      <c r="F4">
        <f>B4+C4+D4</f>
        <v>0</v>
      </c>
      <c r="G4">
        <v>300</v>
      </c>
      <c r="H4">
        <f>G4*E4</f>
        <v>0</v>
      </c>
      <c r="I4">
        <f>100*E4</f>
        <v>0</v>
      </c>
    </row>
    <row r="5" spans="1:9" x14ac:dyDescent="0.4">
      <c r="A5" t="s">
        <v>3</v>
      </c>
      <c r="B5">
        <v>80</v>
      </c>
      <c r="C5">
        <v>0</v>
      </c>
      <c r="D5">
        <v>10</v>
      </c>
      <c r="E5">
        <v>1</v>
      </c>
      <c r="F5">
        <f>B5+C5+D5</f>
        <v>90</v>
      </c>
      <c r="G5">
        <v>150</v>
      </c>
      <c r="H5">
        <f>G5*E5</f>
        <v>150</v>
      </c>
      <c r="I5">
        <f>100*E5</f>
        <v>100</v>
      </c>
    </row>
    <row r="6" spans="1:9" x14ac:dyDescent="0.4">
      <c r="G6" t="s">
        <v>13</v>
      </c>
      <c r="H6">
        <f>H5+H4+H3+H2</f>
        <v>650</v>
      </c>
    </row>
    <row r="7" spans="1:9" x14ac:dyDescent="0.4">
      <c r="A7" t="s">
        <v>9</v>
      </c>
      <c r="B7">
        <v>20</v>
      </c>
      <c r="C7">
        <v>40</v>
      </c>
      <c r="D7">
        <v>50</v>
      </c>
    </row>
    <row r="8" spans="1:9" x14ac:dyDescent="0.4">
      <c r="B8">
        <v>48</v>
      </c>
      <c r="C8">
        <v>15</v>
      </c>
      <c r="D8">
        <v>26</v>
      </c>
    </row>
    <row r="9" spans="1:9" x14ac:dyDescent="0.4">
      <c r="B9">
        <v>26</v>
      </c>
      <c r="C9">
        <v>35</v>
      </c>
      <c r="D9">
        <v>18</v>
      </c>
    </row>
    <row r="10" spans="1:9" x14ac:dyDescent="0.4">
      <c r="B10">
        <v>24</v>
      </c>
      <c r="C10">
        <v>50</v>
      </c>
      <c r="D10">
        <v>35</v>
      </c>
    </row>
    <row r="11" spans="1:9" x14ac:dyDescent="0.4">
      <c r="A11" t="s">
        <v>19</v>
      </c>
      <c r="B11">
        <f>B2+B3+B4+B5</f>
        <v>80</v>
      </c>
      <c r="C11">
        <f>C2+C3+C4+C5</f>
        <v>70</v>
      </c>
      <c r="D11">
        <f>D2+D3+D4+D5</f>
        <v>40</v>
      </c>
    </row>
    <row r="12" spans="1:9" x14ac:dyDescent="0.4">
      <c r="A12" t="s">
        <v>8</v>
      </c>
      <c r="B12">
        <v>80</v>
      </c>
      <c r="C12">
        <v>70</v>
      </c>
      <c r="D12">
        <v>40</v>
      </c>
    </row>
    <row r="13" spans="1:9" x14ac:dyDescent="0.4">
      <c r="E13" t="s">
        <v>14</v>
      </c>
    </row>
    <row r="14" spans="1:9" x14ac:dyDescent="0.4">
      <c r="A14" t="s">
        <v>11</v>
      </c>
      <c r="B14">
        <f>B7*B2</f>
        <v>0</v>
      </c>
      <c r="C14">
        <f>C7*C2</f>
        <v>0</v>
      </c>
      <c r="D14">
        <f>D7*D2</f>
        <v>0</v>
      </c>
      <c r="E14">
        <f>B14+C14+D14</f>
        <v>0</v>
      </c>
    </row>
    <row r="15" spans="1:9" x14ac:dyDescent="0.4">
      <c r="B15">
        <f>B8*B3</f>
        <v>0</v>
      </c>
      <c r="C15">
        <f>C8*C3</f>
        <v>1050</v>
      </c>
      <c r="D15">
        <f>D8*D3</f>
        <v>780</v>
      </c>
      <c r="E15">
        <f>D15+C15+B15</f>
        <v>1830</v>
      </c>
    </row>
    <row r="16" spans="1:9" x14ac:dyDescent="0.4">
      <c r="B16">
        <f>B9*B4</f>
        <v>0</v>
      </c>
      <c r="C16">
        <f>C9*C4</f>
        <v>0</v>
      </c>
      <c r="D16">
        <f>D9*D4</f>
        <v>0</v>
      </c>
      <c r="E16">
        <f>D16+C16+B16</f>
        <v>0</v>
      </c>
    </row>
    <row r="17" spans="1:8" x14ac:dyDescent="0.4">
      <c r="B17">
        <f>B10*B5</f>
        <v>1920</v>
      </c>
      <c r="C17">
        <f>C10*C5</f>
        <v>0</v>
      </c>
      <c r="D17">
        <f>D10*D5</f>
        <v>350</v>
      </c>
      <c r="E17">
        <f>D17+C17+B17</f>
        <v>2270</v>
      </c>
    </row>
    <row r="19" spans="1:8" x14ac:dyDescent="0.4">
      <c r="D19" t="s">
        <v>23</v>
      </c>
      <c r="E19">
        <f>E14+E15+E17+E16</f>
        <v>4100</v>
      </c>
      <c r="G19" t="s">
        <v>22</v>
      </c>
      <c r="H19">
        <f>E19+H6</f>
        <v>4750</v>
      </c>
    </row>
    <row r="20" spans="1:8" x14ac:dyDescent="0.4">
      <c r="A20" t="s">
        <v>15</v>
      </c>
    </row>
    <row r="21" spans="1:8" x14ac:dyDescent="0.4">
      <c r="A21" t="s">
        <v>16</v>
      </c>
      <c r="B21">
        <f>E2+E3+E4+E5</f>
        <v>2</v>
      </c>
      <c r="C21">
        <v>2</v>
      </c>
    </row>
    <row r="22" spans="1:8" x14ac:dyDescent="0.4">
      <c r="A22" t="s">
        <v>17</v>
      </c>
      <c r="B22">
        <f>E2</f>
        <v>0</v>
      </c>
      <c r="C22">
        <f>E3</f>
        <v>1</v>
      </c>
    </row>
    <row r="23" spans="1:8" x14ac:dyDescent="0.4">
      <c r="A23" t="s">
        <v>18</v>
      </c>
      <c r="B23">
        <f>E3+E5</f>
        <v>2</v>
      </c>
      <c r="C2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智言 谢</cp:lastModifiedBy>
  <dcterms:created xsi:type="dcterms:W3CDTF">2015-06-05T18:19:34Z</dcterms:created>
  <dcterms:modified xsi:type="dcterms:W3CDTF">2025-12-16T11:15:13Z</dcterms:modified>
</cp:coreProperties>
</file>
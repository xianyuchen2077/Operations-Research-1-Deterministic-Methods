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0480"/>
  </bookViews>
  <sheets>
    <sheet name="Sheet1" sheetId="1" r:id="rId1"/>
    <sheet name="Sheet2" sheetId="2" r:id="rId2"/>
    <sheet name="Sheet3" sheetId="3" r:id="rId3"/>
  </sheets>
  <definedNames>
    <definedName name="solver_opt" localSheetId="0" hidden="1">Sheet1!$J$9</definedName>
    <definedName name="solver_typ" localSheetId="0" hidden="1">2</definedName>
    <definedName name="solver_val" localSheetId="0" hidden="1">0</definedName>
    <definedName name="solver_adj" localSheetId="0" hidden="1">Sheet1!$E$4:$G$7,Sheet1!$C$4:$C$7</definedName>
    <definedName name="solver_neg" localSheetId="0" hidden="1">1</definedName>
    <definedName name="solver_num" localSheetId="0" hidden="1">24</definedName>
    <definedName name="solver_lin" localSheetId="0" hidden="1">1</definedName>
    <definedName name="solver_eng" localSheetId="0" hidden="1">2</definedName>
    <definedName name="solver_ver" localSheetId="0" hidden="1">3</definedName>
    <definedName name="solver_lhs1" localSheetId="0" hidden="1">Sheet1!$C$4:$C$7</definedName>
    <definedName name="solver_rel1" localSheetId="0" hidden="1">5</definedName>
    <definedName name="solver_rhs1" localSheetId="0" hidden="1">0</definedName>
    <definedName name="solver_lhs2" localSheetId="0" hidden="1">Sheet1!$E$4:$G$7</definedName>
    <definedName name="solver_rel2" localSheetId="0" hidden="1">4</definedName>
    <definedName name="solver_rhs2" localSheetId="0" hidden="1">0</definedName>
    <definedName name="solver_lhs3" localSheetId="0" hidden="1">Sheet1!$E$8</definedName>
    <definedName name="solver_rel3" localSheetId="0" hidden="1">3</definedName>
    <definedName name="solver_rhs3" localSheetId="0" hidden="1">Sheet1!$C$16</definedName>
    <definedName name="solver_lhs4" localSheetId="0" hidden="1">Sheet1!$F$8</definedName>
    <definedName name="solver_rel4" localSheetId="0" hidden="1">3</definedName>
    <definedName name="solver_rhs4" localSheetId="0" hidden="1">Sheet1!$D$16</definedName>
    <definedName name="solver_lhs5" localSheetId="0" hidden="1">Sheet1!$G$8</definedName>
    <definedName name="solver_rel5" localSheetId="0" hidden="1">3</definedName>
    <definedName name="solver_rhs5" localSheetId="0" hidden="1">Sheet1!$E$16</definedName>
    <definedName name="solver_lhs6" localSheetId="0" hidden="1">Sheet1!$L$4</definedName>
    <definedName name="solver_rel6" localSheetId="0" hidden="1">3</definedName>
    <definedName name="solver_rhs6" localSheetId="0" hidden="1">1</definedName>
    <definedName name="solver_lhs7" localSheetId="0" hidden="1">Sheet1!$C$8</definedName>
    <definedName name="solver_rel7" localSheetId="0" hidden="1">1</definedName>
    <definedName name="solver_rhs7" localSheetId="0" hidden="1">2</definedName>
    <definedName name="solver_lhs8" localSheetId="0" hidden="1">Sheet1!$C$4</definedName>
    <definedName name="solver_rel8" localSheetId="0" hidden="1">1</definedName>
    <definedName name="solver_rhs8" localSheetId="0" hidden="1">Sheet1!$C$5</definedName>
    <definedName name="solver_lhs9" localSheetId="0" hidden="1">Sheet1!$H$4</definedName>
    <definedName name="solver_rel9" localSheetId="0" hidden="1">1</definedName>
    <definedName name="solver_rhs9" localSheetId="0" hidden="1">Sheet1!$I$4</definedName>
    <definedName name="solver_lhs10" localSheetId="0" hidden="1">Sheet1!$H$5</definedName>
    <definedName name="solver_rel10" localSheetId="0" hidden="1">1</definedName>
    <definedName name="solver_rhs10" localSheetId="0" hidden="1">Sheet1!$I$5</definedName>
    <definedName name="solver_lhs11" localSheetId="0" hidden="1">Sheet1!$H$6</definedName>
    <definedName name="solver_rel11" localSheetId="0" hidden="1">1</definedName>
    <definedName name="solver_rhs11" localSheetId="0" hidden="1">Sheet1!$I$6</definedName>
    <definedName name="solver_lhs12" localSheetId="0" hidden="1">Sheet1!$H$7</definedName>
    <definedName name="solver_rel12" localSheetId="0" hidden="1">1</definedName>
    <definedName name="solver_rhs12" localSheetId="0" hidden="1">Sheet1!$I$7</definedName>
    <definedName name="solver_pre" localSheetId="0" hidden="1">0.000001</definedName>
    <definedName name="solver_itr" localSheetId="0" hidden="1">0</definedName>
    <definedName name="solver_tim" localSheetId="0" hidden="1">0</definedName>
    <definedName name="solver_tol" localSheetId="0" hidden="1">0.01</definedName>
    <definedName name="solver_sho" localSheetId="0" hidden="1">0</definedName>
    <definedName name="solver_rlx" localSheetId="0" hidden="1">0</definedName>
    <definedName name="solver_nod" localSheetId="0" hidden="1">0</definedName>
    <definedName name="solver_mip" localSheetId="0" hidden="1">0</definedName>
    <definedName name="solver_scl" localSheetId="0" hidden="1">1</definedName>
    <definedName name="solver_cvg" localSheetId="0" hidden="1">0.0001</definedName>
    <definedName name="solver_drv" localSheetId="0" hidden="1">1</definedName>
    <definedName name="solver_msl" localSheetId="0" hidden="1">0</definedName>
    <definedName name="solver_ssz" localSheetId="0" hidden="1">100</definedName>
    <definedName name="solver_rsd" localSheetId="0" hidden="1">0</definedName>
    <definedName name="solver_rbv" localSheetId="0" hidden="1">1</definedName>
    <definedName name="solver_lhs13" localSheetId="0" hidden="1">Sheet1!$E$4</definedName>
    <definedName name="solver_rel13" localSheetId="0" hidden="1">1</definedName>
    <definedName name="solver_rhs13" localSheetId="0" hidden="1">Sheet1!$I$4</definedName>
    <definedName name="solver_lhs14" localSheetId="0" hidden="1">Sheet1!$E$5</definedName>
    <definedName name="solver_rel14" localSheetId="0" hidden="1">1</definedName>
    <definedName name="solver_rhs14" localSheetId="0" hidden="1">Sheet1!$I$5</definedName>
    <definedName name="solver_lhs15" localSheetId="0" hidden="1">Sheet1!$E$6</definedName>
    <definedName name="solver_rel15" localSheetId="0" hidden="1">1</definedName>
    <definedName name="solver_rhs15" localSheetId="0" hidden="1">Sheet1!$I$6</definedName>
    <definedName name="solver_lhs16" localSheetId="0" hidden="1">Sheet1!$E$7</definedName>
    <definedName name="solver_rel16" localSheetId="0" hidden="1">1</definedName>
    <definedName name="solver_rhs16" localSheetId="0" hidden="1">Sheet1!$I$7</definedName>
    <definedName name="solver_lhs17" localSheetId="0" hidden="1">Sheet1!$F$4</definedName>
    <definedName name="solver_rel17" localSheetId="0" hidden="1">1</definedName>
    <definedName name="solver_rhs17" localSheetId="0" hidden="1">Sheet1!$I$4</definedName>
    <definedName name="solver_lhs18" localSheetId="0" hidden="1">Sheet1!$G$4</definedName>
    <definedName name="solver_rel18" localSheetId="0" hidden="1">1</definedName>
    <definedName name="solver_rhs18" localSheetId="0" hidden="1">Sheet1!$I$4</definedName>
    <definedName name="solver_lhs19" localSheetId="0" hidden="1">Sheet1!$F$5</definedName>
    <definedName name="solver_rel19" localSheetId="0" hidden="1">1</definedName>
    <definedName name="solver_rhs19" localSheetId="0" hidden="1">Sheet1!$I$5</definedName>
    <definedName name="solver_lhs20" localSheetId="0" hidden="1">Sheet1!$G$5</definedName>
    <definedName name="solver_rel20" localSheetId="0" hidden="1">1</definedName>
    <definedName name="solver_rhs20" localSheetId="0" hidden="1">Sheet1!$I$5</definedName>
    <definedName name="solver_lhs21" localSheetId="0" hidden="1">Sheet1!$F$6</definedName>
    <definedName name="solver_rel21" localSheetId="0" hidden="1">1</definedName>
    <definedName name="solver_rhs21" localSheetId="0" hidden="1">Sheet1!$I$6</definedName>
    <definedName name="solver_lhs22" localSheetId="0" hidden="1">Sheet1!$G$6</definedName>
    <definedName name="solver_rel22" localSheetId="0" hidden="1">1</definedName>
    <definedName name="solver_rhs22" localSheetId="0" hidden="1">Sheet1!$I$6</definedName>
    <definedName name="solver_lhs23" localSheetId="0" hidden="1">Sheet1!$F$7</definedName>
    <definedName name="solver_rel23" localSheetId="0" hidden="1">1</definedName>
    <definedName name="solver_rhs23" localSheetId="0" hidden="1">Sheet1!$I$7</definedName>
    <definedName name="solver_lhs24" localSheetId="0" hidden="1">Sheet1!$G$7</definedName>
    <definedName name="solver_rel24" localSheetId="0" hidden="1">1</definedName>
    <definedName name="solver_rhs24" localSheetId="0" hidden="1">Sheet1!$I$7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<sst xmlns="http://schemas.openxmlformats.org/spreadsheetml/2006/main" count="25" uniqueCount="20">
  <si>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仓库</t>
  </si>
  <si>
    <t>开关变量（0/1）</t>
  </si>
  <si>
    <t>固定成本（美元）</t>
  </si>
  <si>
    <t>向1区运输量</t>
  </si>
  <si>
    <t>向2区运输量</t>
  </si>
  <si>
    <t>向3区运输量</t>
  </si>
  <si>
    <t>运输量合计</t>
  </si>
  <si>
    <t>允许的运输量</t>
  </si>
  <si>
    <t>合计</t>
  </si>
  <si>
    <t>洛杉矶和亚特兰大的开关变量之和</t>
  </si>
  <si>
    <t>纽约</t>
  </si>
  <si>
    <t>洛杉矶</t>
  </si>
  <si>
    <t>芝加哥</t>
  </si>
  <si>
    <t>亚特兰大</t>
  </si>
  <si>
    <t>总和</t>
  </si>
  <si>
    <t>总成本</t>
  </si>
  <si>
    <t>1区域（单位/美金）</t>
  </si>
  <si>
    <t>2区域（单位/美金）</t>
  </si>
  <si>
    <t>3区域（单位/美金）</t>
  </si>
  <si>
    <t>区域需求量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</si>
</sst>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16"/>
  <sheetViews>
    <sheetView tabSelected="1" topLeftCell="D1" workbookViewId="0">
      <selection activeCell="H13" sqref="H13"/>
    </sheetView>
  </sheetViews>
  <sheetFormatPr defaultColWidth="9" defaultRowHeight="14"/>
  <cols>
    <col min="1" max="1" width="9" style="1"/>
    <col min="2" max="2" width="11.8181818181818" style="1" customWidth="1"/>
    <col min="3" max="5" width="20.8181818181818" style="1" customWidth="1"/>
    <col min="6" max="7" width="12.9090909090909" style="1" customWidth="1"/>
    <col min="8" max="8" width="11.8181818181818" style="1" customWidth="1"/>
    <col min="9" max="9" width="14" style="1" customWidth="1"/>
    <col min="10" max="10" width="5.54545454545455" style="1" customWidth="1"/>
    <col min="11" max="11" width="9" style="1"/>
    <col min="12" max="12" width="34.2727272727273" style="1" customWidth="1"/>
    <col min="13" max="16384" width="9" style="1"/>
  </cols>
  <sheetData>
    <row r="3" spans="2:1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L3" s="2" t="s">
        <v>9</v>
      </c>
    </row>
    <row r="4" spans="2:12">
      <c r="B4" s="2" t="s">
        <v>10</v>
      </c>
      <c r="C4" s="2">
        <v>0</v>
      </c>
      <c r="D4" s="2">
        <v>400</v>
      </c>
      <c r="E4" s="2">
        <v>0</v>
      </c>
      <c r="F4" s="2">
        <v>0</v>
      </c>
      <c r="G4" s="2">
        <v>0</v>
      </c>
      <c r="H4" s="2">
        <f>SUM(E4:G4)</f>
        <v>0</v>
      </c>
      <c r="I4" s="2">
        <f>100*C4</f>
        <v>0</v>
      </c>
      <c r="J4" s="2">
        <f>C4*(D4+E4*C12+F4*D12+G4*E12)</f>
        <v>0</v>
      </c>
      <c r="L4" s="2">
        <f>C5+C7</f>
        <v>2</v>
      </c>
    </row>
    <row r="5" spans="2:12">
      <c r="B5" s="2" t="s">
        <v>11</v>
      </c>
      <c r="C5" s="2">
        <v>1</v>
      </c>
      <c r="D5" s="2">
        <v>500</v>
      </c>
      <c r="E5" s="2">
        <v>0</v>
      </c>
      <c r="F5" s="2">
        <v>70</v>
      </c>
      <c r="G5" s="2">
        <v>30</v>
      </c>
      <c r="H5" s="2">
        <f>SUM(E5:G5)</f>
        <v>100</v>
      </c>
      <c r="I5" s="2">
        <f>100*C5</f>
        <v>100</v>
      </c>
      <c r="J5" s="2">
        <f>C5*(D5+E5*C13+F5*D13+G5*E13)</f>
        <v>2330</v>
      </c>
    </row>
    <row r="6" spans="2:12">
      <c r="B6" s="2" t="s">
        <v>12</v>
      </c>
      <c r="C6" s="2">
        <v>0</v>
      </c>
      <c r="D6" s="2">
        <v>300</v>
      </c>
      <c r="E6" s="2">
        <v>0</v>
      </c>
      <c r="F6" s="2">
        <v>0</v>
      </c>
      <c r="G6" s="2">
        <v>0</v>
      </c>
      <c r="H6" s="2">
        <f>SUM(E6:G6)</f>
        <v>0</v>
      </c>
      <c r="I6" s="2">
        <f>100*C6</f>
        <v>0</v>
      </c>
      <c r="J6" s="2">
        <f>C6*(D6+E6*C14+F6*D14+G6*E14)</f>
        <v>0</v>
      </c>
    </row>
    <row r="7" spans="2:12">
      <c r="B7" s="2" t="s">
        <v>13</v>
      </c>
      <c r="C7" s="2">
        <v>1</v>
      </c>
      <c r="D7" s="2">
        <v>150</v>
      </c>
      <c r="E7" s="2">
        <v>80</v>
      </c>
      <c r="F7" s="2">
        <v>0</v>
      </c>
      <c r="G7" s="2">
        <v>10</v>
      </c>
      <c r="H7" s="2">
        <f>SUM(E7:G7)</f>
        <v>90</v>
      </c>
      <c r="I7" s="2">
        <f>100*C7</f>
        <v>100</v>
      </c>
      <c r="J7" s="2">
        <f>C7*(D7+E7*C15+F7*D15+G7*E15)</f>
        <v>2420</v>
      </c>
    </row>
    <row r="8" spans="2:12">
      <c r="B8" s="2" t="s">
        <v>14</v>
      </c>
      <c r="C8" s="2">
        <f>SUM(C4:C7)</f>
        <v>2</v>
      </c>
      <c r="D8" s="2"/>
      <c r="E8" s="2">
        <f>SUM(E4:E7)</f>
        <v>80</v>
      </c>
      <c r="F8" s="2">
        <f>SUM(F4:F7)</f>
        <v>70</v>
      </c>
      <c r="G8" s="2">
        <f>SUM(G4:G7)</f>
        <v>40</v>
      </c>
      <c r="H8" s="2"/>
      <c r="I8" s="2"/>
      <c r="J8" s="2"/>
    </row>
    <row r="9" spans="2:12">
      <c r="B9" s="2" t="s">
        <v>15</v>
      </c>
      <c r="C9" s="2"/>
      <c r="D9" s="2"/>
      <c r="E9" s="2"/>
      <c r="F9" s="2"/>
      <c r="G9" s="2"/>
      <c r="H9" s="2"/>
      <c r="I9" s="2"/>
      <c r="J9" s="2">
        <f>SUM(J4:J7)+D9</f>
        <v>4750</v>
      </c>
    </row>
    <row r="11" spans="2:12">
      <c r="B11" s="2" t="s">
        <v>0</v>
      </c>
      <c r="C11" s="2" t="s">
        <v>16</v>
      </c>
      <c r="D11" s="2" t="s">
        <v>17</v>
      </c>
      <c r="E11" s="2" t="s">
        <v>18</v>
      </c>
    </row>
    <row r="12" spans="2:12">
      <c r="B12" s="2" t="s">
        <v>10</v>
      </c>
      <c r="C12" s="2">
        <v>20</v>
      </c>
      <c r="D12" s="2">
        <v>40</v>
      </c>
      <c r="E12" s="2">
        <v>50</v>
      </c>
    </row>
    <row r="13" spans="2:12">
      <c r="B13" s="2" t="s">
        <v>11</v>
      </c>
      <c r="C13" s="2">
        <v>48</v>
      </c>
      <c r="D13" s="2">
        <v>15</v>
      </c>
      <c r="E13" s="2">
        <v>26</v>
      </c>
    </row>
    <row r="14" spans="2:12">
      <c r="B14" s="2" t="s">
        <v>12</v>
      </c>
      <c r="C14" s="2">
        <v>26</v>
      </c>
      <c r="D14" s="2">
        <v>35</v>
      </c>
      <c r="E14" s="2">
        <v>18</v>
      </c>
    </row>
    <row r="15" spans="2:12">
      <c r="B15" s="2" t="s">
        <v>13</v>
      </c>
      <c r="C15" s="2">
        <v>24</v>
      </c>
      <c r="D15" s="2">
        <v>50</v>
      </c>
      <c r="E15" s="2">
        <v>35</v>
      </c>
    </row>
    <row r="16" spans="2:12">
      <c r="B16" s="2" t="s">
        <v>19</v>
      </c>
      <c r="C16" s="2">
        <v>80</v>
      </c>
      <c r="D16" s="2">
        <v>70</v>
      </c>
      <c r="E16" s="2">
        <v>40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陈正阳</dc:creator>
  <cp:lastModifiedBy>当条咸鱼</cp:lastModifiedBy>
  <dcterms:created xsi:type="dcterms:W3CDTF">2023-05-12T11:15:00Z</dcterms:created>
  <dcterms:modified xsi:type="dcterms:W3CDTF">2025-12-16T17:08:13Z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4EA9F346BDB94E36B053D4DFA8EE0FBC_12</vt:lpwstr>
  </property>
  <property fmtid="{D5CDD505-2E9C-101B-9397-08002B2CF9AE}" pid="4" name="CalculationRule">
    <vt:i4>0</vt:i4>
  </property>
</Properties>
</file>
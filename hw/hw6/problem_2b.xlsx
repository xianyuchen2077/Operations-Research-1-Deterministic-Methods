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750" windowHeight="10480"/>
  </bookViews>
  <sheets>
    <sheet name="problem_2b" sheetId="1" r:id="rId1"/>
    <sheet name="Solution_Gurobi" sheetId="2" r:id="rId2"/>
  </sheets>
  <definedNames>
    <definedName name="solver_adj" localSheetId="0" hidden="1">problem_2b!$B$10:$D$10,problem_2b!$B$12:$D$12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problem_2b!$B$10:$D$10</definedName>
    <definedName name="solver_lhs2" localSheetId="0" hidden="1">problem_2b!$B$12</definedName>
    <definedName name="solver_lhs3" localSheetId="0" hidden="1">problem_2b!$B$12</definedName>
    <definedName name="solver_lhs4" localSheetId="0" hidden="1">problem_2b!$B$12:$D$12</definedName>
    <definedName name="solver_lhs5" localSheetId="0" hidden="1">problem_2b!$C$12</definedName>
    <definedName name="solver_lhs6" localSheetId="0" hidden="1">problem_2b!$C$12</definedName>
    <definedName name="solver_lhs7" localSheetId="0" hidden="1">problem_2b!$D$12</definedName>
    <definedName name="solver_lhs8" localSheetId="0" hidden="1">problem_2b!$D$12</definedName>
    <definedName name="solver_lhs9" localSheetId="0" hidden="1">problem_2b!$E$12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9</definedName>
    <definedName name="solver_nwt" localSheetId="0" hidden="1">1</definedName>
    <definedName name="solver_opt" localSheetId="0" hidden="1">problem_2b!$B$20</definedName>
    <definedName name="solver_pre" localSheetId="0" hidden="1">0.000001</definedName>
    <definedName name="solver_rbv" localSheetId="0" hidden="1">2</definedName>
    <definedName name="solver_rel1" localSheetId="0" hidden="1">5</definedName>
    <definedName name="solver_rel2" localSheetId="0" hidden="1">1</definedName>
    <definedName name="solver_rel3" localSheetId="0" hidden="1">3</definedName>
    <definedName name="solver_rel4" localSheetId="0" hidden="1">4</definedName>
    <definedName name="solver_rel5" localSheetId="0" hidden="1">1</definedName>
    <definedName name="solver_rel6" localSheetId="0" hidden="1">3</definedName>
    <definedName name="solver_rel7" localSheetId="0" hidden="1">1</definedName>
    <definedName name="solver_rel8" localSheetId="0" hidden="1">3</definedName>
    <definedName name="solver_rel9" localSheetId="0" hidden="1">2</definedName>
    <definedName name="solver_rhs1" localSheetId="0" hidden="1">"二进制"</definedName>
    <definedName name="solver_rhs2" localSheetId="0" hidden="1">problem_2b!$B$10*problem_2b!$B$6</definedName>
    <definedName name="solver_rhs3" localSheetId="0" hidden="1">problem_2b!$B$10*problem_2b!$B$7</definedName>
    <definedName name="solver_rhs4" localSheetId="0" hidden="1">"整数"</definedName>
    <definedName name="solver_rhs5" localSheetId="0" hidden="1">problem_2b!$C$10*problem_2b!$C$6</definedName>
    <definedName name="solver_rhs6" localSheetId="0" hidden="1">problem_2b!$C$10*problem_2b!$C$7</definedName>
    <definedName name="solver_rhs7" localSheetId="0" hidden="1">problem_2b!$D$10*problem_2b!$D$6</definedName>
    <definedName name="solver_rhs8" localSheetId="0" hidden="1">problem_2b!$D$10*problem_2b!$D$7</definedName>
    <definedName name="solver_rhs9" localSheetId="0" hidden="1">1100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<sst xmlns="http://schemas.openxmlformats.org/spreadsheetml/2006/main" count="47" uniqueCount="34">
  <si>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Computers purchase problem</t>
  </si>
  <si>
    <t>vendor 1</t>
  </si>
  <si>
    <t>vendor 2</t>
  </si>
  <si>
    <t>vendor 3</t>
  </si>
  <si>
    <t>unit price of computers</t>
  </si>
  <si>
    <t>500</t>
  </si>
  <si>
    <t>350</t>
  </si>
  <si>
    <t>250</t>
  </si>
  <si>
    <t>delivery charge</t>
  </si>
  <si>
    <t>5000</t>
  </si>
  <si>
    <t>4000</t>
  </si>
  <si>
    <t>6000</t>
  </si>
  <si>
    <t>the maximum quantity of computers required to order</t>
  </si>
  <si>
    <t>900</t>
  </si>
  <si>
    <t>400</t>
  </si>
  <si>
    <t>the minimum quantity of computers required to order</t>
  </si>
  <si>
    <t>200</t>
  </si>
  <si>
    <t>total</t>
  </si>
  <si>
    <t>purchase any?</t>
  </si>
  <si>
    <t>unit purchassed</t>
  </si>
  <si>
    <t>&lt;=</t>
  </si>
  <si>
    <t>upper limit if purchase</t>
  </si>
  <si>
    <t>1100</t>
  </si>
  <si>
    <t>&gt;=</t>
  </si>
  <si>
    <t>lower limit if purchase</t>
  </si>
  <si>
    <t>total delivery charge</t>
  </si>
  <si>
    <t>total cost on computers</t>
  </si>
  <si>
    <t xml:space="preserve"> total cost</t>
  </si>
  <si>
    <t>Vendor_1</t>
  </si>
  <si>
    <t>Vendor_2</t>
  </si>
  <si>
    <t>Vendor_3</t>
  </si>
  <si>
    <t>Purchase any？</t>
  </si>
  <si>
    <t>Purchase Numbers</t>
  </si>
  <si>
    <t>Minimum Total Cost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</si>
</sst>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>
      <alignment vertical="center"/>
    </xf>
    <xf numFmtId="44" fontId="1" fillId="0" borderId="0">
      <alignment vertical="center"/>
    </xf>
    <xf numFmtId="9" fontId="1" fillId="0" borderId="0">
      <alignment vertical="center"/>
    </xf>
    <xf numFmtId="41" fontId="1" fillId="0" borderId="0">
      <alignment vertical="center"/>
    </xf>
    <xf numFmtId="42" fontId="1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1" fillId="2" borderId="4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5">
      <alignment vertical="center"/>
    </xf>
    <xf numFmtId="0" fontId="8" fillId="0" borderId="5">
      <alignment vertical="center"/>
    </xf>
    <xf numFmtId="0" fontId="9" fillId="0" borderId="6">
      <alignment vertical="center"/>
    </xf>
    <xf numFmtId="0" fontId="9" fillId="0" borderId="0">
      <alignment vertical="center"/>
    </xf>
    <xf numFmtId="0" fontId="10" fillId="3" borderId="7">
      <alignment vertical="center"/>
    </xf>
    <xf numFmtId="0" fontId="11" fillId="4" borderId="8">
      <alignment vertical="center"/>
    </xf>
    <xf numFmtId="0" fontId="12" fillId="4" borderId="7">
      <alignment vertical="center"/>
    </xf>
    <xf numFmtId="0" fontId="13" fillId="5" borderId="9">
      <alignment vertical="center"/>
    </xf>
    <xf numFmtId="0" fontId="14" fillId="0" borderId="10">
      <alignment vertical="center"/>
    </xf>
    <xf numFmtId="0" fontId="15" fillId="0" borderId="11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H13" sqref="H13"/>
    </sheetView>
  </sheetViews>
  <sheetFormatPr defaultColWidth="9" defaultRowHeight="15" outlineLevelCol="4"/>
  <cols>
    <col min="1" max="1" width="33.3333333333333" style="2" customWidth="1"/>
    <col min="2" max="16384" width="9" style="2" customWidth="1"/>
  </cols>
  <sheetData>
    <row r="1" spans="1:5">
      <c r="A1" s="3" t="s">
        <v>0</v>
      </c>
      <c r="B1" s="4"/>
      <c r="C1" s="4"/>
      <c r="D1" s="5"/>
    </row>
    <row r="3" spans="1:5">
      <c r="A3" s="3"/>
      <c r="B3" s="3" t="s">
        <v>1</v>
      </c>
      <c r="C3" s="3" t="s">
        <v>2</v>
      </c>
      <c r="D3" s="3" t="s">
        <v>3</v>
      </c>
    </row>
    <row r="4" spans="1:5">
      <c r="A4" s="3" t="s">
        <v>4</v>
      </c>
      <c r="B4" s="3" t="s">
        <v>5</v>
      </c>
      <c r="C4" s="3" t="s">
        <v>6</v>
      </c>
      <c r="D4" s="3" t="s">
        <v>7</v>
      </c>
    </row>
    <row r="5" spans="1:5">
      <c r="A5" s="3" t="s">
        <v>8</v>
      </c>
      <c r="B5" s="3" t="s">
        <v>9</v>
      </c>
      <c r="C5" s="3" t="s">
        <v>10</v>
      </c>
      <c r="D5" s="3" t="s">
        <v>11</v>
      </c>
    </row>
    <row r="6" ht="30" customHeight="1" spans="1:5">
      <c r="A6" s="6" t="s">
        <v>12</v>
      </c>
      <c r="B6" s="3" t="s">
        <v>5</v>
      </c>
      <c r="C6" s="3" t="s">
        <v>13</v>
      </c>
      <c r="D6" s="3" t="s">
        <v>14</v>
      </c>
    </row>
    <row r="7" ht="30" customHeight="1" spans="1:5">
      <c r="A7" s="6" t="s">
        <v>15</v>
      </c>
      <c r="B7" s="3" t="s">
        <v>16</v>
      </c>
      <c r="C7" s="3" t="s">
        <v>16</v>
      </c>
      <c r="D7" s="3" t="s">
        <v>16</v>
      </c>
    </row>
    <row r="9" spans="1:5">
      <c r="A9" s="3"/>
      <c r="B9" s="3" t="s">
        <v>1</v>
      </c>
      <c r="C9" s="3" t="s">
        <v>2</v>
      </c>
      <c r="D9" s="3" t="s">
        <v>3</v>
      </c>
      <c r="E9" s="3" t="s">
        <v>17</v>
      </c>
    </row>
    <row r="10" spans="1:5">
      <c r="A10" s="3" t="s">
        <v>18</v>
      </c>
      <c r="B10" s="3">
        <v>0</v>
      </c>
      <c r="C10" s="3">
        <v>1</v>
      </c>
      <c r="D10" s="3">
        <v>1</v>
      </c>
      <c r="E10" s="3"/>
    </row>
    <row r="11" spans="1:5">
      <c r="A11" s="3"/>
      <c r="B11" s="3"/>
      <c r="C11" s="3"/>
      <c r="D11" s="3"/>
      <c r="E11" s="3"/>
    </row>
    <row r="12" spans="1:5">
      <c r="A12" s="3" t="s">
        <v>19</v>
      </c>
      <c r="B12" s="3">
        <v>0</v>
      </c>
      <c r="C12" s="3">
        <v>700</v>
      </c>
      <c r="D12" s="3">
        <v>400</v>
      </c>
      <c r="E12" s="3">
        <f>SUM(B12:D12)</f>
        <v>1100</v>
      </c>
    </row>
    <row r="13" spans="1:5">
      <c r="A13" s="3"/>
      <c r="B13" s="3" t="s">
        <v>20</v>
      </c>
      <c r="C13" s="3" t="s">
        <v>20</v>
      </c>
      <c r="D13" s="3" t="s">
        <v>20</v>
      </c>
      <c r="E13" s="3" t="s">
        <v>20</v>
      </c>
    </row>
    <row r="14" spans="1:5">
      <c r="A14" s="3" t="s">
        <v>21</v>
      </c>
      <c r="B14" s="3" t="str">
        <f>B6</f>
        <v>500</v>
      </c>
      <c r="C14" s="3" t="str">
        <f>C6</f>
        <v>900</v>
      </c>
      <c r="D14" s="3" t="str">
        <f>D6</f>
        <v>400</v>
      </c>
      <c r="E14" s="3" t="s">
        <v>22</v>
      </c>
    </row>
    <row r="15" spans="1:5">
      <c r="A15" s="3"/>
      <c r="B15" s="3" t="s">
        <v>23</v>
      </c>
      <c r="C15" s="3" t="s">
        <v>23</v>
      </c>
      <c r="D15" s="3" t="s">
        <v>23</v>
      </c>
      <c r="E15" s="3" t="s">
        <v>23</v>
      </c>
    </row>
    <row r="16" spans="1:5">
      <c r="A16" s="3" t="s">
        <v>24</v>
      </c>
      <c r="B16" s="3" t="str">
        <f>B7</f>
        <v>200</v>
      </c>
      <c r="C16" s="3" t="str">
        <f>C7</f>
        <v>200</v>
      </c>
      <c r="D16" s="3" t="str">
        <f>D7</f>
        <v>200</v>
      </c>
      <c r="E16" s="3" t="s">
        <v>22</v>
      </c>
    </row>
    <row r="18" spans="1:2">
      <c r="A18" s="3" t="s">
        <v>25</v>
      </c>
      <c r="B18" s="3">
        <f>B10*B5+C10*C5+D10*D5</f>
        <v>10000</v>
      </c>
    </row>
    <row r="19" spans="1:2">
      <c r="A19" s="3" t="s">
        <v>26</v>
      </c>
      <c r="B19" s="3">
        <f>B12*B4+C12*C4+D12*D4</f>
        <v>345000</v>
      </c>
    </row>
    <row r="20" spans="1:2">
      <c r="A20" s="3" t="s">
        <v>27</v>
      </c>
      <c r="B20" s="3">
        <f>B18+B19</f>
        <v>355000</v>
      </c>
    </row>
  </sheetData>
  <mergeCells count="1">
    <mergeCell ref="A1:D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M10" sqref="M10"/>
    </sheetView>
  </sheetViews>
  <sheetFormatPr defaultColWidth="9" defaultRowHeight="15" outlineLevelRow="5" outlineLevelCol="3"/>
  <cols>
    <col min="1" max="1" width="20" customWidth="1"/>
    <col min="2" max="4" width="10" customWidth="1"/>
  </cols>
  <sheetData>
    <row r="1" spans="1:4">
      <c r="A1" s="1"/>
      <c r="B1" s="1" t="s">
        <v>28</v>
      </c>
      <c r="C1" s="1" t="s">
        <v>29</v>
      </c>
      <c r="D1" s="1" t="s">
        <v>30</v>
      </c>
    </row>
    <row r="2" spans="1:4">
      <c r="A2" s="1" t="s">
        <v>31</v>
      </c>
      <c r="B2" s="1">
        <v>0</v>
      </c>
      <c r="C2" s="1">
        <v>1</v>
      </c>
      <c r="D2" s="1">
        <v>1</v>
      </c>
    </row>
    <row r="3" spans="1:4">
      <c r="A3" s="1" t="s">
        <v>32</v>
      </c>
      <c r="B3" s="1">
        <v>0</v>
      </c>
      <c r="C3" s="1">
        <v>700</v>
      </c>
      <c r="D3" s="1">
        <v>400</v>
      </c>
    </row>
    <row r="4" spans="1:4">
      <c r="A4" s="1"/>
      <c r="B4" s="1"/>
      <c r="C4" s="1"/>
      <c r="D4" s="1"/>
    </row>
    <row r="5" spans="1:4">
      <c r="A5" s="1" t="s">
        <v>33</v>
      </c>
      <c r="B5" s="1">
        <v>355000</v>
      </c>
      <c r="C5" s="1"/>
      <c r="D5" s="1"/>
    </row>
    <row r="6" spans="1:4">
      <c r="A6" s="1"/>
      <c r="B6" s="1"/>
      <c r="C6" s="1"/>
      <c r="D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problem_2b</vt:lpstr>
      <vt:lpstr>Solution_Gurobi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当条咸鱼</cp:lastModifiedBy>
  <dcterms:created xsi:type="dcterms:W3CDTF">2025-12-01T09:02:00Z</dcterms:created>
  <dcterms:modified xsi:type="dcterms:W3CDTF">2025-12-01T09:56:52Z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D71430825200410EBBA1A8DF99345B6F_12</vt:lpwstr>
  </property>
  <property fmtid="{D5CDD505-2E9C-101B-9397-08002B2CF9AE}" pid="3" name="KSOProductBuildVer">
    <vt:lpwstr>2052-12.1.0.23542</vt:lpwstr>
  </property>
</Properties>
</file>
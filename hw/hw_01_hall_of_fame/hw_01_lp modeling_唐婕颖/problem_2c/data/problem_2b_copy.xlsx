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运筹学\HW1\problem_2c\data\"/>
    </mc:Choice>
  </mc:AlternateContent>
  <xr:revisionPtr revIDLastSave="0" documentId="13_ncr:1_{961D3D8C-C9D4-4FEA-802A-95F2AAB3A24B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Data" sheetId="1" r:id="rId1"/>
    <sheet name="Solution(problem_2b)" sheetId="2" r:id="rId2"/>
    <sheet name="Solution Gurobi" sheetId="3" r:id="rId3"/>
  </sheets>
  <definedNames>
    <definedName name="Available_Units">'Solution(problem_2b)'!$F$7:$F$8</definedName>
    <definedName name="Electrical_Components_Units">'Solution(problem_2b)'!$B$8:$C$8</definedName>
    <definedName name="Metal_Frame_Parts_Units">'Solution(problem_2b)'!$B$7:$C$7</definedName>
    <definedName name="Profit_per_Unit">'Solution(problem_2b)'!$B$4:$C$4</definedName>
    <definedName name="solver_adj" localSheetId="1" hidden="1">'Solution(problem_2b)'!$B$11:$C$11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'Solution(problem_2b)'!$C$11</definedName>
    <definedName name="solver_lhs2" localSheetId="1" hidden="1">'Solution(problem_2b)'!$D$7:$D$8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'Solution(problem_2b)'!$F$11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hs1" localSheetId="1" hidden="1">'Solution(problem_2b)'!$C$12</definedName>
    <definedName name="solver_rhs2" localSheetId="1" hidden="1">Available_Units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Total_Available_Units">'Solution(problem_2b)'!$E$7:$E$8</definedName>
    <definedName name="Total_Profit">'Solution(problem_2b)'!$F$11</definedName>
    <definedName name="Units_to_Produce">'Solution(problem_2b)'!$B$11:$C$11</definedName>
    <definedName name="Used_Units">'Solution(problem_2b)'!$D$7:$D$8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2" l="1"/>
  <c r="D8" i="2"/>
  <c r="D7" i="2"/>
</calcChain>
</file>

<file path=xl/sharedStrings.xml><?xml version="1.0" encoding="utf-8"?>
<sst xmlns="http://schemas.openxmlformats.org/spreadsheetml/2006/main" count="65" uniqueCount="31">
  <si>
    <t>WorldLight Company Light Fixture Profit Maximization Problem</t>
  </si>
  <si>
    <t>Product 1</t>
  </si>
  <si>
    <t>Product 2</t>
  </si>
  <si>
    <t>Profit per Unit</t>
  </si>
  <si>
    <t>Units Used per Unit Produced</t>
  </si>
  <si>
    <t xml:space="preserve"> Used Units</t>
  </si>
  <si>
    <t>Available Units</t>
  </si>
  <si>
    <t>Metal Frame Parts(Units)</t>
  </si>
  <si>
    <t>Electrical Components(Units)</t>
  </si>
  <si>
    <t>Total Profit</t>
  </si>
  <si>
    <t>Units to Produce</t>
  </si>
  <si>
    <t>Quantity Limit (Units)</t>
  </si>
  <si>
    <t>-</t>
  </si>
  <si>
    <t>Range names</t>
  </si>
  <si>
    <t>Available_Units</t>
  </si>
  <si>
    <t>='Model(problem_2b)'!$F$7:$F$8</t>
  </si>
  <si>
    <t>Electrical_Components_Units</t>
  </si>
  <si>
    <t>='Model(problem_2b)'!$B$8:$C$8</t>
  </si>
  <si>
    <t>Metal_Frame_Parts_Units</t>
  </si>
  <si>
    <t>='Model(problem_2b)'!$B$7:$C$7</t>
  </si>
  <si>
    <t>Profit_per_Unit</t>
  </si>
  <si>
    <t>='Model(problem_2b)'!$B$4:$C$4</t>
  </si>
  <si>
    <t>Total_Available_Units</t>
  </si>
  <si>
    <t>='Model(problem_2b)'!$E$7:$E$8</t>
  </si>
  <si>
    <t>&lt;=</t>
  </si>
  <si>
    <t>Total_Profit</t>
  </si>
  <si>
    <t>='Model(problem_2b)'!$F$11</t>
  </si>
  <si>
    <t>Units_to_Produce</t>
  </si>
  <si>
    <t>='Model(problem_2b)'!$B$11:$C$11</t>
  </si>
  <si>
    <t>Used_Units</t>
  </si>
  <si>
    <t>='Model(problem_2b)'!$D$7:$D$8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</si>
</sst>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¥&quot;* #,##0.00_ ;_ &quot;¥&quot;* \-#,##0.00_ ;_ &quot;¥&quot;* &quot;-&quot;??_ ;_ @_ "/>
    <numFmt numFmtId="26" formatCode="\$#,##0.00_);[Red]\(\$#,##0.00\)"/>
    <numFmt numFmtId="176" formatCode="\$#,##0.00;\-\$#,##0.0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4" fontId="2" fillId="0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/>
    <xf numFmtId="0" fontId="3" fillId="0" borderId="0" xfId="0" applyFont="1" applyAlignment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26" fontId="0" fillId="3" borderId="1" xfId="1" applyNumberFormat="1" applyFont="1" applyFill="1" applyBorder="1" applyAlignment="1">
      <alignment horizontal="center" vertical="center"/>
    </xf>
    <xf numFmtId="26" fontId="0" fillId="3" borderId="2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F11" sqref="F11"/>
    </sheetView>
  </sheetViews>
  <sheetFormatPr defaultRowHeight="14" x14ac:dyDescent="0.3"/>
  <cols>
    <col min="1" max="1" width="20.33203125" style="12" customWidth="1"/>
    <col min="2" max="2" width="12.4140625" style="12" customWidth="1"/>
    <col min="3" max="3" width="15.9140625" style="12" customWidth="1"/>
  </cols>
  <sheetData>
    <row r="1" spans="1:7" x14ac:dyDescent="0.3">
      <c r="A1" s="17" t="s">
        <v>0</v>
      </c>
      <c r="B1" s="18"/>
      <c r="C1" s="18"/>
      <c r="D1" s="13"/>
      <c r="E1" s="13"/>
      <c r="F1" s="1"/>
      <c r="G1" s="1"/>
    </row>
    <row r="2" spans="1:7" x14ac:dyDescent="0.3">
      <c r="A2" s="13"/>
      <c r="B2" s="13"/>
      <c r="C2" s="13"/>
      <c r="D2" s="13"/>
      <c r="E2" s="13"/>
      <c r="F2" s="1"/>
      <c r="G2" s="1"/>
    </row>
    <row r="3" spans="1:7" ht="14.5" customHeight="1" thickBot="1" x14ac:dyDescent="0.35">
      <c r="A3" s="13"/>
      <c r="B3" s="13" t="s">
        <v>1</v>
      </c>
      <c r="C3" s="13" t="s">
        <v>2</v>
      </c>
      <c r="D3" s="13"/>
      <c r="E3" s="13"/>
      <c r="F3" s="1"/>
      <c r="G3" s="1"/>
    </row>
    <row r="4" spans="1:7" ht="14.5" customHeight="1" thickBot="1" x14ac:dyDescent="0.35">
      <c r="A4" s="13" t="s">
        <v>3</v>
      </c>
      <c r="B4" s="14">
        <v>1</v>
      </c>
      <c r="C4" s="15">
        <v>2</v>
      </c>
      <c r="D4" s="13"/>
      <c r="E4" s="13"/>
      <c r="F4" s="1"/>
      <c r="G4" s="1"/>
    </row>
    <row r="5" spans="1:7" x14ac:dyDescent="0.3">
      <c r="A5" s="13"/>
      <c r="B5" s="13"/>
      <c r="C5" s="13"/>
      <c r="D5" s="13"/>
      <c r="E5" s="13"/>
      <c r="F5" s="1"/>
      <c r="G5" s="1"/>
    </row>
    <row r="6" spans="1:7" ht="14.5" customHeight="1" thickBot="1" x14ac:dyDescent="0.35">
      <c r="A6" s="13"/>
      <c r="B6" s="19" t="s">
        <v>4</v>
      </c>
      <c r="C6" s="18"/>
      <c r="D6" s="13" t="s">
        <v>5</v>
      </c>
      <c r="E6" s="13"/>
      <c r="F6" s="13" t="s">
        <v>6</v>
      </c>
      <c r="G6" s="1"/>
    </row>
    <row r="7" spans="1:7" x14ac:dyDescent="0.3">
      <c r="A7" s="13" t="s">
        <v>7</v>
      </c>
      <c r="B7" s="4">
        <v>1</v>
      </c>
      <c r="C7" s="5">
        <v>3</v>
      </c>
      <c r="D7" s="13"/>
      <c r="E7" s="13"/>
      <c r="F7" s="10">
        <v>200</v>
      </c>
      <c r="G7" s="1"/>
    </row>
    <row r="8" spans="1:7" ht="14.5" customHeight="1" thickBot="1" x14ac:dyDescent="0.35">
      <c r="A8" s="13" t="s">
        <v>8</v>
      </c>
      <c r="B8" s="6">
        <v>2</v>
      </c>
      <c r="C8" s="7">
        <v>2</v>
      </c>
      <c r="D8" s="13"/>
      <c r="E8" s="13"/>
      <c r="F8" s="11">
        <v>300</v>
      </c>
      <c r="G8" s="1"/>
    </row>
    <row r="9" spans="1:7" x14ac:dyDescent="0.3">
      <c r="A9" s="13"/>
      <c r="B9" s="13"/>
      <c r="C9" s="13"/>
      <c r="D9" s="13"/>
      <c r="E9" s="13"/>
      <c r="F9" s="1"/>
      <c r="G9" s="1"/>
    </row>
    <row r="10" spans="1:7" ht="14.5" customHeight="1" thickBot="1" x14ac:dyDescent="0.35">
      <c r="A10" s="13"/>
      <c r="B10" s="13" t="s">
        <v>1</v>
      </c>
      <c r="C10" s="13" t="s">
        <v>2</v>
      </c>
      <c r="D10" s="13"/>
      <c r="E10" s="13"/>
      <c r="F10" s="13" t="s">
        <v>9</v>
      </c>
      <c r="G10" s="1"/>
    </row>
    <row r="11" spans="1:7" ht="14.5" customHeight="1" thickBot="1" x14ac:dyDescent="0.35">
      <c r="A11" s="13" t="s">
        <v>10</v>
      </c>
      <c r="B11" s="8"/>
      <c r="C11" s="9"/>
      <c r="D11" s="13"/>
      <c r="E11" s="13"/>
      <c r="F11" s="16"/>
      <c r="G11" s="1"/>
    </row>
    <row r="12" spans="1:7" x14ac:dyDescent="0.3">
      <c r="A12" s="13"/>
      <c r="B12" s="13"/>
      <c r="C12" s="13"/>
      <c r="D12" s="13"/>
      <c r="E12" s="13"/>
      <c r="F12" s="1"/>
      <c r="G12" s="1"/>
    </row>
    <row r="13" spans="1:7" x14ac:dyDescent="0.3">
      <c r="A13" s="13" t="s">
        <v>11</v>
      </c>
      <c r="B13" s="13" t="s">
        <v>12</v>
      </c>
      <c r="C13" s="13">
        <v>20</v>
      </c>
      <c r="G13" s="1"/>
    </row>
  </sheetData>
  <mergeCells count="2">
    <mergeCell ref="A1:C1"/>
    <mergeCell ref="B6:C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13"/>
  <sheetViews>
    <sheetView workbookViewId="0">
      <selection activeCell="A4" sqref="A4"/>
    </sheetView>
  </sheetViews>
  <sheetFormatPr defaultRowHeight="14" x14ac:dyDescent="0.3"/>
  <cols>
    <col min="1" max="1" width="32.1640625" style="12" customWidth="1"/>
    <col min="2" max="2" width="16.4140625" style="12" customWidth="1"/>
    <col min="3" max="3" width="15.5" style="12" customWidth="1"/>
    <col min="4" max="4" width="16.08203125" style="12" customWidth="1"/>
    <col min="5" max="5" width="18" style="12" customWidth="1"/>
    <col min="6" max="6" width="15.75" style="12" customWidth="1"/>
    <col min="8" max="8" width="22.75" style="12" customWidth="1"/>
    <col min="9" max="9" width="30.33203125" style="12" customWidth="1"/>
    <col min="10" max="10" width="22.25" style="12" customWidth="1"/>
  </cols>
  <sheetData>
    <row r="1" spans="1:10" x14ac:dyDescent="0.3">
      <c r="A1" s="17" t="s">
        <v>0</v>
      </c>
      <c r="B1" s="18"/>
      <c r="C1" s="18"/>
      <c r="D1" s="13"/>
      <c r="E1" s="13"/>
      <c r="F1" s="1"/>
      <c r="H1" s="20" t="s">
        <v>13</v>
      </c>
      <c r="I1" s="18"/>
    </row>
    <row r="2" spans="1:10" x14ac:dyDescent="0.3">
      <c r="A2" s="13"/>
      <c r="B2" s="13"/>
      <c r="C2" s="13"/>
      <c r="D2" s="13"/>
      <c r="E2" s="13"/>
      <c r="F2" s="1"/>
      <c r="H2" s="3" t="s">
        <v>14</v>
      </c>
      <c r="I2" s="2" t="s">
        <v>15</v>
      </c>
      <c r="J2" s="2"/>
    </row>
    <row r="3" spans="1:10" ht="14.5" customHeight="1" thickBot="1" x14ac:dyDescent="0.35">
      <c r="A3" s="13"/>
      <c r="B3" s="13" t="s">
        <v>1</v>
      </c>
      <c r="C3" s="13" t="s">
        <v>2</v>
      </c>
      <c r="D3" s="13"/>
      <c r="E3" s="13"/>
      <c r="F3" s="1"/>
      <c r="H3" s="1" t="s">
        <v>16</v>
      </c>
      <c r="I3" s="1" t="s">
        <v>17</v>
      </c>
    </row>
    <row r="4" spans="1:10" ht="14.5" customHeight="1" thickBot="1" x14ac:dyDescent="0.35">
      <c r="A4" s="13" t="s">
        <v>3</v>
      </c>
      <c r="B4" s="14">
        <v>1</v>
      </c>
      <c r="C4" s="15">
        <v>2</v>
      </c>
      <c r="D4" s="13"/>
      <c r="E4" s="13"/>
      <c r="F4" s="1"/>
      <c r="H4" s="1" t="s">
        <v>18</v>
      </c>
      <c r="I4" s="1" t="s">
        <v>19</v>
      </c>
    </row>
    <row r="5" spans="1:10" x14ac:dyDescent="0.3">
      <c r="A5" s="13"/>
      <c r="B5" s="13"/>
      <c r="C5" s="13"/>
      <c r="D5" s="13"/>
      <c r="E5" s="13"/>
      <c r="F5" s="1"/>
      <c r="H5" s="1" t="s">
        <v>20</v>
      </c>
      <c r="I5" s="1" t="s">
        <v>21</v>
      </c>
    </row>
    <row r="6" spans="1:10" ht="14.5" customHeight="1" thickBot="1" x14ac:dyDescent="0.35">
      <c r="A6" s="13"/>
      <c r="B6" s="19" t="s">
        <v>4</v>
      </c>
      <c r="C6" s="18"/>
      <c r="D6" s="13" t="s">
        <v>5</v>
      </c>
      <c r="E6" s="13"/>
      <c r="F6" s="13" t="s">
        <v>6</v>
      </c>
      <c r="H6" s="1" t="s">
        <v>22</v>
      </c>
      <c r="I6" s="1" t="s">
        <v>23</v>
      </c>
    </row>
    <row r="7" spans="1:10" x14ac:dyDescent="0.3">
      <c r="A7" s="13" t="s">
        <v>7</v>
      </c>
      <c r="B7" s="4">
        <v>1</v>
      </c>
      <c r="C7" s="5">
        <v>3</v>
      </c>
      <c r="D7" s="13">
        <f>SUMPRODUCT(Metal_Frame_Parts_Units,Units_to_Produce)</f>
        <v>190</v>
      </c>
      <c r="E7" s="13" t="s">
        <v>24</v>
      </c>
      <c r="F7" s="10">
        <v>200</v>
      </c>
      <c r="H7" s="1" t="s">
        <v>25</v>
      </c>
      <c r="I7" s="1" t="s">
        <v>26</v>
      </c>
    </row>
    <row r="8" spans="1:10" ht="14.5" customHeight="1" thickBot="1" x14ac:dyDescent="0.35">
      <c r="A8" s="13" t="s">
        <v>8</v>
      </c>
      <c r="B8" s="6">
        <v>2</v>
      </c>
      <c r="C8" s="7">
        <v>2</v>
      </c>
      <c r="D8" s="13">
        <f>SUMPRODUCT(Electrical_Components_Units,Units_to_Produce)</f>
        <v>300</v>
      </c>
      <c r="E8" s="13" t="s">
        <v>24</v>
      </c>
      <c r="F8" s="11">
        <v>300</v>
      </c>
      <c r="H8" s="1" t="s">
        <v>27</v>
      </c>
      <c r="I8" s="1" t="s">
        <v>28</v>
      </c>
    </row>
    <row r="9" spans="1:10" x14ac:dyDescent="0.3">
      <c r="A9" s="13"/>
      <c r="B9" s="13"/>
      <c r="C9" s="13"/>
      <c r="D9" s="13"/>
      <c r="E9" s="13"/>
      <c r="F9" s="1"/>
      <c r="H9" s="1" t="s">
        <v>29</v>
      </c>
      <c r="I9" s="1" t="s">
        <v>30</v>
      </c>
    </row>
    <row r="10" spans="1:10" ht="14.5" customHeight="1" thickBot="1" x14ac:dyDescent="0.35">
      <c r="A10" s="13"/>
      <c r="B10" s="13" t="s">
        <v>1</v>
      </c>
      <c r="C10" s="13" t="s">
        <v>2</v>
      </c>
      <c r="D10" s="13"/>
      <c r="E10" s="13"/>
      <c r="F10" s="13" t="s">
        <v>9</v>
      </c>
    </row>
    <row r="11" spans="1:10" ht="14.5" customHeight="1" thickBot="1" x14ac:dyDescent="0.35">
      <c r="A11" s="13" t="s">
        <v>10</v>
      </c>
      <c r="B11" s="8">
        <v>130</v>
      </c>
      <c r="C11" s="9">
        <v>20</v>
      </c>
      <c r="D11" s="13"/>
      <c r="E11" s="13"/>
      <c r="F11" s="16">
        <f>SUMPRODUCT(Profit_per_Unit,Units_to_Produce)</f>
        <v>170</v>
      </c>
    </row>
    <row r="12" spans="1:10" x14ac:dyDescent="0.3">
      <c r="A12" s="13"/>
      <c r="B12" s="13"/>
      <c r="C12" s="13" t="s">
        <v>24</v>
      </c>
      <c r="D12" s="13"/>
      <c r="E12" s="13"/>
      <c r="F12" s="1"/>
    </row>
    <row r="13" spans="1:10" x14ac:dyDescent="0.3">
      <c r="A13" s="13" t="s">
        <v>11</v>
      </c>
      <c r="B13" s="13" t="s">
        <v>12</v>
      </c>
      <c r="C13" s="13">
        <v>20</v>
      </c>
    </row>
  </sheetData>
  <mergeCells count="3">
    <mergeCell ref="A1:C1"/>
    <mergeCell ref="B6:C6"/>
    <mergeCell ref="H1:I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tabSelected="1" workbookViewId="0">
      <selection sqref="A1:C1"/>
    </sheetView>
  </sheetViews>
  <sheetFormatPr defaultRowHeight="14" x14ac:dyDescent="0.3"/>
  <cols>
    <col min="1" max="1" width="20.33203125" style="12" customWidth="1"/>
    <col min="2" max="2" width="12.4140625" style="12" customWidth="1"/>
    <col min="3" max="3" width="15.9140625" style="12" customWidth="1"/>
  </cols>
  <sheetData>
    <row r="1" spans="1:7" x14ac:dyDescent="0.3">
      <c r="A1" s="17" t="s">
        <v>0</v>
      </c>
      <c r="B1" s="18"/>
      <c r="C1" s="18"/>
      <c r="D1" s="13"/>
      <c r="E1" s="13"/>
      <c r="F1" s="1"/>
      <c r="G1" s="1"/>
    </row>
    <row r="2" spans="1:7" x14ac:dyDescent="0.3">
      <c r="A2" s="13"/>
      <c r="B2" s="13"/>
      <c r="C2" s="13"/>
      <c r="D2" s="13"/>
      <c r="E2" s="13"/>
      <c r="F2" s="1"/>
      <c r="G2" s="1"/>
    </row>
    <row r="3" spans="1:7" ht="14.5" customHeight="1" thickBot="1" x14ac:dyDescent="0.35">
      <c r="A3" s="13"/>
      <c r="B3" s="13" t="s">
        <v>1</v>
      </c>
      <c r="C3" s="13" t="s">
        <v>2</v>
      </c>
      <c r="D3" s="13"/>
      <c r="E3" s="13"/>
      <c r="F3" s="1"/>
      <c r="G3" s="1"/>
    </row>
    <row r="4" spans="1:7" ht="14.5" customHeight="1" thickBot="1" x14ac:dyDescent="0.35">
      <c r="A4" s="13" t="s">
        <v>3</v>
      </c>
      <c r="B4" s="14">
        <v>1</v>
      </c>
      <c r="C4" s="15">
        <v>2</v>
      </c>
      <c r="D4" s="13"/>
      <c r="E4" s="13"/>
      <c r="F4" s="1"/>
      <c r="G4" s="1"/>
    </row>
    <row r="5" spans="1:7" x14ac:dyDescent="0.3">
      <c r="A5" s="13"/>
      <c r="B5" s="13"/>
      <c r="C5" s="13"/>
      <c r="D5" s="13"/>
      <c r="E5" s="13"/>
      <c r="F5" s="1"/>
      <c r="G5" s="1"/>
    </row>
    <row r="6" spans="1:7" ht="14.5" customHeight="1" thickBot="1" x14ac:dyDescent="0.35">
      <c r="A6" s="13"/>
      <c r="B6" s="19" t="s">
        <v>4</v>
      </c>
      <c r="C6" s="18"/>
      <c r="D6" s="13" t="s">
        <v>5</v>
      </c>
      <c r="E6" s="13"/>
      <c r="F6" s="13" t="s">
        <v>6</v>
      </c>
      <c r="G6" s="1"/>
    </row>
    <row r="7" spans="1:7" x14ac:dyDescent="0.3">
      <c r="A7" s="13" t="s">
        <v>7</v>
      </c>
      <c r="B7" s="4">
        <v>1</v>
      </c>
      <c r="C7" s="5">
        <v>3</v>
      </c>
      <c r="D7" s="13"/>
      <c r="E7" s="13"/>
      <c r="F7" s="10">
        <v>200</v>
      </c>
      <c r="G7" s="1"/>
    </row>
    <row r="8" spans="1:7" ht="14.5" customHeight="1" thickBot="1" x14ac:dyDescent="0.35">
      <c r="A8" s="13" t="s">
        <v>8</v>
      </c>
      <c r="B8" s="6">
        <v>2</v>
      </c>
      <c r="C8" s="7">
        <v>2</v>
      </c>
      <c r="D8" s="13"/>
      <c r="E8" s="13"/>
      <c r="F8" s="11">
        <v>300</v>
      </c>
      <c r="G8" s="1"/>
    </row>
    <row r="9" spans="1:7" x14ac:dyDescent="0.3">
      <c r="A9" s="13"/>
      <c r="B9" s="13"/>
      <c r="C9" s="13"/>
      <c r="D9" s="13"/>
      <c r="E9" s="13"/>
      <c r="F9" s="1"/>
      <c r="G9" s="1"/>
    </row>
    <row r="10" spans="1:7" ht="14.5" customHeight="1" thickBot="1" x14ac:dyDescent="0.35">
      <c r="A10" s="13"/>
      <c r="B10" s="13" t="s">
        <v>1</v>
      </c>
      <c r="C10" s="13" t="s">
        <v>2</v>
      </c>
      <c r="D10" s="13"/>
      <c r="E10" s="13"/>
      <c r="F10" s="13" t="s">
        <v>9</v>
      </c>
      <c r="G10" s="1"/>
    </row>
    <row r="11" spans="1:7" ht="14.5" customHeight="1" thickBot="1" x14ac:dyDescent="0.35">
      <c r="A11" s="13" t="s">
        <v>10</v>
      </c>
      <c r="B11" s="8">
        <v>130</v>
      </c>
      <c r="C11" s="9">
        <v>20</v>
      </c>
      <c r="D11" s="13"/>
      <c r="E11" s="13"/>
      <c r="F11" s="16">
        <v>170</v>
      </c>
      <c r="G11" s="1"/>
    </row>
    <row r="12" spans="1:7" x14ac:dyDescent="0.3">
      <c r="A12" s="13"/>
      <c r="B12" s="13"/>
      <c r="C12" s="13"/>
      <c r="D12" s="13"/>
      <c r="E12" s="13"/>
      <c r="F12" s="1"/>
      <c r="G12" s="1"/>
    </row>
    <row r="13" spans="1:7" x14ac:dyDescent="0.3">
      <c r="A13" s="13" t="s">
        <v>11</v>
      </c>
      <c r="B13" s="13" t="s">
        <v>12</v>
      </c>
      <c r="C13" s="13">
        <v>20</v>
      </c>
      <c r="G13" s="1"/>
    </row>
  </sheetData>
  <mergeCells count="2">
    <mergeCell ref="A1:C1"/>
    <mergeCell ref="B6:C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8</vt:i4>
      </vt:variant>
    </vt:vector>
  </HeadingPairs>
  <TitlesOfParts>
    <vt:vector size="11" baseType="lpstr">
      <vt:lpstr>Data</vt:lpstr>
      <vt:lpstr>Solution(problem_2b)</vt:lpstr>
      <vt:lpstr>Solution Gurobi</vt:lpstr>
      <vt:lpstr>Available_Units</vt:lpstr>
      <vt:lpstr>Electrical_Components_Units</vt:lpstr>
      <vt:lpstr>Metal_Frame_Parts_Units</vt:lpstr>
      <vt:lpstr>Profit_per_Unit</vt:lpstr>
      <vt:lpstr>Total_Available_Units</vt:lpstr>
      <vt:lpstr>Total_Profit</vt:lpstr>
      <vt:lpstr>Units_to_Produce</vt:lpstr>
      <vt:lpstr>Used_Units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t3149738762@qq.com</dc:creator>
  <cp:lastModifiedBy>t3149738762@qq.com</cp:lastModifiedBy>
  <dcterms:created xsi:type="dcterms:W3CDTF">2025-10-06T09:04:17Z</dcterms:created>
  <dcterms:modified xsi:type="dcterms:W3CDTF">2025-10-07T06:24:31Z</dcterms:modified>
</cp:coreProperties>
</file>
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2001_{7E7A5B78-C6ED-42F7-B3BE-C7EB13256D8E}" xr6:coauthVersionLast="47" xr6:coauthVersionMax="47" xr10:uidLastSave="{00000000-0000-0000-0000-000000000000}"/>
  <bookViews>
    <workbookView xWindow="-98" yWindow="-98" windowWidth="23236" windowHeight="13875" activeTab="1" xr2:uid="{E56EB105-FB0F-44EC-831A-51ADD10EE45B}"/>
  </bookViews>
  <sheets>
    <sheet name="Data" sheetId="1" r:id="rId1"/>
    <sheet name="Solution" sheetId="5" r:id="rId2"/>
    <sheet name="Model" sheetId="3" r:id="rId3"/>
  </sheets>
  <definedNames>
    <definedName name="Batches_produced" localSheetId="1">Solution!$B$11:$C$11</definedName>
    <definedName name="Batches_produced">Model!$B$11:$C$11</definedName>
    <definedName name="Materials_available" localSheetId="1">Solution!$F$6:$F$8</definedName>
    <definedName name="Materials_available">Model!$F$6:$F$8</definedName>
    <definedName name="Materials_used" localSheetId="1">Solution!$D$6:$D$8:'Solution'!$D$7</definedName>
    <definedName name="Materials_used">Model!$D$6:$D$8:'Model'!$D$7</definedName>
    <definedName name="Materials_used_per_batch_produced" localSheetId="1">Solution!$B$6:$C$7</definedName>
    <definedName name="Materials_used_per_batch_produced">Model!$B$6:$C$7</definedName>
    <definedName name="Profit_per_batch" localSheetId="1">Solution!$B$3:$C$3</definedName>
    <definedName name="Profit_per_batch">Model!$B$3:$C$3</definedName>
    <definedName name="solver_adj" localSheetId="0" hidden="1">Data!$C$11,Data!$B$11</definedName>
    <definedName name="solver_adj" localSheetId="2" hidden="1">Model!$C$11,Model!$B$11</definedName>
    <definedName name="solver_adj" localSheetId="1" hidden="1">Solution!$C$11,Solution!$B$11</definedName>
    <definedName name="solver_cvg" localSheetId="1" hidden="1">0.0001</definedName>
    <definedName name="solver_drv" localSheetId="1" hidden="1">2</definedName>
    <definedName name="solver_eng" localSheetId="0" hidden="1">2</definedName>
    <definedName name="solver_eng" localSheetId="2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Solution!$D$6:$D$8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2" hidden="1">0</definedName>
    <definedName name="solver_num" localSheetId="1" hidden="1">1</definedName>
    <definedName name="solver_nwt" localSheetId="1" hidden="1">1</definedName>
    <definedName name="solver_opt" localSheetId="0" hidden="1">Data!$F$11</definedName>
    <definedName name="solver_opt" localSheetId="2" hidden="1">Model!$F$11</definedName>
    <definedName name="solver_opt" localSheetId="1" hidden="1">Solution!$F$11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hs1" localSheetId="1" hidden="1">Solution!$F$6:$F$8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  <definedName name="Total_profit" localSheetId="1">Solution!$F$11</definedName>
    <definedName name="Total_profit">Model!$F$11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5" l="1"/>
  <c r="D8" i="5"/>
  <c r="D7" i="5"/>
  <c r="D6" i="5"/>
  <c r="D8" i="3"/>
  <c r="F11" i="3"/>
  <c r="D7" i="3"/>
  <c r="D6" i="3"/>
</calcChain>
</file>

<file path=xl/sharedStrings.xml><?xml version="1.0" encoding="utf-8"?>
<sst xmlns="http://schemas.openxmlformats.org/spreadsheetml/2006/main" count="73" uniqueCount="26">
  <si>
    <t>Product 1</t>
    <phoneticPr fontId="1" type="noConversion"/>
  </si>
  <si>
    <t>Product 2</t>
    <phoneticPr fontId="1" type="noConversion"/>
  </si>
  <si>
    <t>Profit per unit</t>
    <phoneticPr fontId="1" type="noConversion"/>
  </si>
  <si>
    <t>Electrical component</t>
    <phoneticPr fontId="1" type="noConversion"/>
  </si>
  <si>
    <t>Frame part</t>
    <phoneticPr fontId="1" type="noConversion"/>
  </si>
  <si>
    <t>Profit</t>
    <phoneticPr fontId="1" type="noConversion"/>
  </si>
  <si>
    <t>Range names</t>
    <phoneticPr fontId="1" type="noConversion"/>
  </si>
  <si>
    <t>Materials used per batch produced</t>
    <phoneticPr fontId="1" type="noConversion"/>
  </si>
  <si>
    <t>Batches produced</t>
    <phoneticPr fontId="1" type="noConversion"/>
  </si>
  <si>
    <t>Batches_produced</t>
  </si>
  <si>
    <t>Total_profit</t>
  </si>
  <si>
    <t>=Model!$B$10:$C$10</t>
  </si>
  <si>
    <t>Materials_available</t>
  </si>
  <si>
    <t>=Model!$F$6:$F$7</t>
  </si>
  <si>
    <t>Materials_used</t>
  </si>
  <si>
    <t>=Model!$D$6:$D$7</t>
  </si>
  <si>
    <t>Materials_used_per_batch_produced</t>
  </si>
  <si>
    <t>=Model!$B$6:$C$7</t>
  </si>
  <si>
    <t>=Model!$B$3:$C$3</t>
  </si>
  <si>
    <t>=Model!$F$10</t>
  </si>
  <si>
    <t>Materials available</t>
    <phoneticPr fontId="1" type="noConversion"/>
  </si>
  <si>
    <t>Materials used</t>
    <phoneticPr fontId="1" type="noConversion"/>
  </si>
  <si>
    <t>Problem 1</t>
    <phoneticPr fontId="1" type="noConversion"/>
  </si>
  <si>
    <t>Profit_peer_batch</t>
    <phoneticPr fontId="1" type="noConversion"/>
  </si>
  <si>
    <t>&lt;=</t>
    <phoneticPr fontId="1" type="noConversion"/>
  </si>
  <si>
    <t>Product 2 limit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</si>
</sst>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6" tint="0.39997558519241921"/>
        <bgColor indexed="6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6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2" fillId="0" borderId="2">
      <alignment vertical="center"/>
    </xf>
    <xf numFmtId="0" fontId="2" fillId="0" borderId="3">
      <alignment vertical="center"/>
    </xf>
    <xf numFmtId="0" fontId="2" fillId="4" borderId="4">
      <alignment vertical="center"/>
    </xf>
  </cellStyleXfs>
  <cellXfs count="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/>
    <xf numFmtId="0" fontId="5" fillId="3" borderId="1" xfId="2" applyFont="1" applyAlignment="1">
      <alignment horizontal="center" vertical="center"/>
    </xf>
    <xf numFmtId="0" fontId="8" fillId="3" borderId="1" xfId="2" applyFont="1" applyAlignment="1">
      <alignment horizontal="center" vertical="center"/>
    </xf>
    <xf numFmtId="0" fontId="2" fillId="0" borderId="3" xfId="4">
      <alignment vertical="center"/>
    </xf>
    <xf numFmtId="0" fontId="6" fillId="2" borderId="0" xfId="1" applyFont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6" fillId="4" borderId="4" xfId="5" applyFont="1">
      <alignment vertical="center"/>
    </xf>
  </cellXfs>
  <cellStyles count="6">
    <cellStyle name="差" xfId="1" builtinId="27"/>
    <cellStyle name="常规" xfId="0" builtinId="0"/>
    <cellStyle name="检查单元格" xfId="2" builtinId="23"/>
    <cellStyle name="样式 1" xfId="3" xr:uid="{01667540-69F4-4B11-9957-B9AD29C42335}"/>
    <cellStyle name="样式 2" xfId="4" xr:uid="{084D1DD7-EA26-43CD-9188-1D0A73D9DC53}"/>
    <cellStyle name="样式 3" xfId="5" xr:uid="{AB5DC4B9-2E09-4808-A525-7D3A93A535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B515-7AB6-434F-BFDB-74C0BE7D13E6}">
  <dimension ref="A1:F11"/>
  <sheetViews>
    <sheetView workbookViewId="0">
      <selection activeCell="D12" sqref="D12"/>
    </sheetView>
  </sheetViews>
  <sheetFormatPr defaultRowHeight="13.9" x14ac:dyDescent="0.4"/>
  <cols>
    <col min="1" max="1" width="21.73046875" customWidth="1"/>
    <col min="2" max="2" width="17.3984375" customWidth="1"/>
    <col min="3" max="3" width="16.796875" customWidth="1"/>
    <col min="4" max="4" width="12.796875" customWidth="1"/>
    <col min="5" max="5" width="3.796875" customWidth="1"/>
    <col min="6" max="6" width="16.9296875" customWidth="1"/>
  </cols>
  <sheetData>
    <row r="1" spans="1:6" x14ac:dyDescent="0.4">
      <c r="A1" s="6" t="s">
        <v>22</v>
      </c>
      <c r="B1" s="7"/>
      <c r="C1" s="7"/>
      <c r="D1" s="1"/>
    </row>
    <row r="2" spans="1:6" x14ac:dyDescent="0.4">
      <c r="A2" s="1"/>
      <c r="B2" s="1" t="s">
        <v>0</v>
      </c>
      <c r="C2" s="1" t="s">
        <v>1</v>
      </c>
      <c r="D2" s="1"/>
    </row>
    <row r="3" spans="1:6" x14ac:dyDescent="0.4">
      <c r="A3" s="1" t="s">
        <v>2</v>
      </c>
      <c r="B3" s="8">
        <v>1</v>
      </c>
      <c r="C3" s="8">
        <v>2</v>
      </c>
      <c r="D3" s="1"/>
    </row>
    <row r="4" spans="1:6" x14ac:dyDescent="0.4">
      <c r="A4" s="1"/>
      <c r="B4" s="1"/>
      <c r="C4" s="1"/>
      <c r="D4" s="1"/>
    </row>
    <row r="5" spans="1:6" x14ac:dyDescent="0.4">
      <c r="A5" s="1"/>
      <c r="B5" s="1" t="s">
        <v>7</v>
      </c>
      <c r="C5" s="1"/>
      <c r="D5" s="1"/>
      <c r="F5" s="1" t="s">
        <v>20</v>
      </c>
    </row>
    <row r="6" spans="1:6" x14ac:dyDescent="0.4">
      <c r="A6" s="1" t="s">
        <v>4</v>
      </c>
      <c r="B6" s="8">
        <v>1</v>
      </c>
      <c r="C6" s="8">
        <v>3</v>
      </c>
      <c r="D6" s="1"/>
      <c r="F6" s="8">
        <v>200</v>
      </c>
    </row>
    <row r="7" spans="1:6" x14ac:dyDescent="0.4">
      <c r="A7" s="1" t="s">
        <v>3</v>
      </c>
      <c r="B7" s="8">
        <v>2</v>
      </c>
      <c r="C7" s="8">
        <v>2</v>
      </c>
      <c r="D7" s="1"/>
      <c r="F7" s="8">
        <v>300</v>
      </c>
    </row>
    <row r="8" spans="1:6" x14ac:dyDescent="0.4">
      <c r="A8" s="1" t="s">
        <v>25</v>
      </c>
      <c r="B8" s="8">
        <v>0</v>
      </c>
      <c r="C8" s="8">
        <v>1</v>
      </c>
      <c r="D8" s="1"/>
      <c r="F8" s="8">
        <v>20</v>
      </c>
    </row>
    <row r="10" spans="1:6" x14ac:dyDescent="0.4">
      <c r="B10" s="1" t="s">
        <v>0</v>
      </c>
      <c r="C10" s="1" t="s">
        <v>1</v>
      </c>
      <c r="F10" s="1" t="s">
        <v>5</v>
      </c>
    </row>
    <row r="11" spans="1:6" x14ac:dyDescent="0.4">
      <c r="A11" s="1" t="s">
        <v>8</v>
      </c>
      <c r="B11" s="5"/>
      <c r="C11" s="5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0533-8329-4F47-AE57-AABF880622A4}">
  <dimension ref="A1:J11"/>
  <sheetViews>
    <sheetView tabSelected="1" workbookViewId="0">
      <selection activeCell="B30" sqref="B30"/>
    </sheetView>
  </sheetViews>
  <sheetFormatPr defaultRowHeight="13.9" x14ac:dyDescent="0.4"/>
  <cols>
    <col min="1" max="1" width="21.73046875" customWidth="1"/>
    <col min="2" max="2" width="17.3984375" customWidth="1"/>
    <col min="3" max="3" width="16.796875" customWidth="1"/>
    <col min="4" max="4" width="12.796875" customWidth="1"/>
    <col min="5" max="5" width="3.796875" customWidth="1"/>
    <col min="6" max="6" width="16.9296875" customWidth="1"/>
    <col min="8" max="8" width="31.796875" customWidth="1"/>
    <col min="9" max="9" width="21.33203125" customWidth="1"/>
  </cols>
  <sheetData>
    <row r="1" spans="1:10" ht="14.65" thickTop="1" thickBot="1" x14ac:dyDescent="0.45">
      <c r="A1" s="6" t="s">
        <v>22</v>
      </c>
      <c r="B1" s="7"/>
      <c r="C1" s="7"/>
      <c r="D1" s="1"/>
      <c r="H1" s="3" t="s">
        <v>6</v>
      </c>
      <c r="I1" s="4"/>
      <c r="J1" s="4"/>
    </row>
    <row r="2" spans="1:10" ht="14.25" thickTop="1" x14ac:dyDescent="0.35">
      <c r="A2" s="1"/>
      <c r="B2" s="1" t="s">
        <v>0</v>
      </c>
      <c r="C2" s="1" t="s">
        <v>1</v>
      </c>
      <c r="D2" s="1"/>
      <c r="H2" s="2" t="s">
        <v>9</v>
      </c>
      <c r="I2" t="s">
        <v>11</v>
      </c>
    </row>
    <row r="3" spans="1:10" x14ac:dyDescent="0.35">
      <c r="A3" s="1" t="s">
        <v>2</v>
      </c>
      <c r="B3" s="8">
        <v>1</v>
      </c>
      <c r="C3" s="8">
        <v>2</v>
      </c>
      <c r="D3" s="1"/>
      <c r="H3" s="2" t="s">
        <v>12</v>
      </c>
      <c r="I3" t="s">
        <v>13</v>
      </c>
    </row>
    <row r="4" spans="1:10" x14ac:dyDescent="0.35">
      <c r="A4" s="1"/>
      <c r="B4" s="1"/>
      <c r="C4" s="1"/>
      <c r="D4" s="1"/>
      <c r="H4" s="2" t="s">
        <v>14</v>
      </c>
      <c r="I4" t="s">
        <v>15</v>
      </c>
    </row>
    <row r="5" spans="1:10" x14ac:dyDescent="0.35">
      <c r="A5" s="1"/>
      <c r="B5" s="1" t="s">
        <v>7</v>
      </c>
      <c r="C5" s="1"/>
      <c r="D5" s="1" t="s">
        <v>21</v>
      </c>
      <c r="F5" s="1" t="s">
        <v>20</v>
      </c>
      <c r="H5" s="2" t="s">
        <v>16</v>
      </c>
      <c r="I5" t="s">
        <v>17</v>
      </c>
    </row>
    <row r="6" spans="1:10" x14ac:dyDescent="0.35">
      <c r="A6" s="1" t="s">
        <v>4</v>
      </c>
      <c r="B6" s="8">
        <v>1</v>
      </c>
      <c r="C6" s="8">
        <v>3</v>
      </c>
      <c r="D6" s="1">
        <f>B6*B11+C6*C11</f>
        <v>190</v>
      </c>
      <c r="E6" t="s">
        <v>24</v>
      </c>
      <c r="F6" s="8">
        <v>200</v>
      </c>
      <c r="H6" s="2" t="s">
        <v>23</v>
      </c>
      <c r="I6" t="s">
        <v>18</v>
      </c>
    </row>
    <row r="7" spans="1:10" x14ac:dyDescent="0.35">
      <c r="A7" s="1" t="s">
        <v>3</v>
      </c>
      <c r="B7" s="8">
        <v>2</v>
      </c>
      <c r="C7" s="8">
        <v>2</v>
      </c>
      <c r="D7" s="1">
        <f>B7*B11+C7*C11</f>
        <v>300</v>
      </c>
      <c r="E7" t="s">
        <v>24</v>
      </c>
      <c r="F7" s="8">
        <v>300</v>
      </c>
      <c r="H7" s="2" t="s">
        <v>10</v>
      </c>
      <c r="I7" t="s">
        <v>19</v>
      </c>
    </row>
    <row r="8" spans="1:10" x14ac:dyDescent="0.35">
      <c r="A8" s="1" t="s">
        <v>25</v>
      </c>
      <c r="B8" s="8">
        <v>0</v>
      </c>
      <c r="C8" s="8">
        <v>1</v>
      </c>
      <c r="D8" s="1">
        <f>C8*C11</f>
        <v>20</v>
      </c>
      <c r="E8" t="s">
        <v>24</v>
      </c>
      <c r="F8" s="8">
        <v>20</v>
      </c>
      <c r="H8" s="2"/>
    </row>
    <row r="10" spans="1:10" x14ac:dyDescent="0.4">
      <c r="B10" s="1" t="s">
        <v>0</v>
      </c>
      <c r="C10" s="1" t="s">
        <v>1</v>
      </c>
      <c r="F10" s="1" t="s">
        <v>5</v>
      </c>
    </row>
    <row r="11" spans="1:10" x14ac:dyDescent="0.4">
      <c r="A11" s="1" t="s">
        <v>8</v>
      </c>
      <c r="B11" s="5">
        <v>130</v>
      </c>
      <c r="C11" s="5">
        <v>20</v>
      </c>
      <c r="F11">
        <f>SUMPRODUCT(Profit_per_batch, Batches_produced)</f>
        <v>170</v>
      </c>
    </row>
  </sheetData>
  <mergeCells count="2">
    <mergeCell ref="A1:C1"/>
    <mergeCell ref="H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AC71-13A4-4ED8-9B21-5286321E7596}">
  <dimension ref="A1:J11"/>
  <sheetViews>
    <sheetView workbookViewId="0">
      <selection activeCell="C20" sqref="C20"/>
    </sheetView>
  </sheetViews>
  <sheetFormatPr defaultRowHeight="13.9" x14ac:dyDescent="0.4"/>
  <cols>
    <col min="1" max="1" width="21.73046875" customWidth="1"/>
    <col min="2" max="2" width="17.3984375" customWidth="1"/>
    <col min="3" max="3" width="16.796875" customWidth="1"/>
    <col min="4" max="4" width="12.796875" customWidth="1"/>
    <col min="5" max="5" width="3.796875" customWidth="1"/>
    <col min="6" max="6" width="16.9296875" customWidth="1"/>
    <col min="8" max="8" width="31.796875" customWidth="1"/>
    <col min="9" max="9" width="21.33203125" customWidth="1"/>
  </cols>
  <sheetData>
    <row r="1" spans="1:10" ht="14.65" thickTop="1" thickBot="1" x14ac:dyDescent="0.45">
      <c r="A1" s="6" t="s">
        <v>22</v>
      </c>
      <c r="B1" s="7"/>
      <c r="C1" s="7"/>
      <c r="D1" s="1"/>
      <c r="H1" s="3" t="s">
        <v>6</v>
      </c>
      <c r="I1" s="4"/>
      <c r="J1" s="4"/>
    </row>
    <row r="2" spans="1:10" ht="14.25" thickTop="1" x14ac:dyDescent="0.35">
      <c r="A2" s="1"/>
      <c r="B2" s="1" t="s">
        <v>0</v>
      </c>
      <c r="C2" s="1" t="s">
        <v>1</v>
      </c>
      <c r="D2" s="1"/>
      <c r="H2" s="2" t="s">
        <v>9</v>
      </c>
      <c r="I2" t="s">
        <v>11</v>
      </c>
    </row>
    <row r="3" spans="1:10" x14ac:dyDescent="0.35">
      <c r="A3" s="1" t="s">
        <v>2</v>
      </c>
      <c r="B3" s="8">
        <v>1</v>
      </c>
      <c r="C3" s="8">
        <v>2</v>
      </c>
      <c r="D3" s="1"/>
      <c r="H3" s="2" t="s">
        <v>12</v>
      </c>
      <c r="I3" t="s">
        <v>13</v>
      </c>
    </row>
    <row r="4" spans="1:10" x14ac:dyDescent="0.35">
      <c r="A4" s="1"/>
      <c r="B4" s="1"/>
      <c r="C4" s="1"/>
      <c r="D4" s="1"/>
      <c r="H4" s="2" t="s">
        <v>14</v>
      </c>
      <c r="I4" t="s">
        <v>15</v>
      </c>
    </row>
    <row r="5" spans="1:10" x14ac:dyDescent="0.35">
      <c r="A5" s="1"/>
      <c r="B5" s="1" t="s">
        <v>7</v>
      </c>
      <c r="C5" s="1"/>
      <c r="D5" s="1" t="s">
        <v>21</v>
      </c>
      <c r="F5" s="1" t="s">
        <v>20</v>
      </c>
      <c r="H5" s="2" t="s">
        <v>16</v>
      </c>
      <c r="I5" t="s">
        <v>17</v>
      </c>
    </row>
    <row r="6" spans="1:10" x14ac:dyDescent="0.35">
      <c r="A6" s="1" t="s">
        <v>4</v>
      </c>
      <c r="B6" s="8">
        <v>1</v>
      </c>
      <c r="C6" s="8">
        <v>3</v>
      </c>
      <c r="D6" s="1">
        <f>B6*B11+C6*C11</f>
        <v>7</v>
      </c>
      <c r="E6" t="s">
        <v>24</v>
      </c>
      <c r="F6" s="8">
        <v>200</v>
      </c>
      <c r="H6" s="2" t="s">
        <v>23</v>
      </c>
      <c r="I6" t="s">
        <v>18</v>
      </c>
    </row>
    <row r="7" spans="1:10" x14ac:dyDescent="0.35">
      <c r="A7" s="1" t="s">
        <v>3</v>
      </c>
      <c r="B7" s="8">
        <v>2</v>
      </c>
      <c r="C7" s="8">
        <v>2</v>
      </c>
      <c r="D7" s="1">
        <f>B7*B11+C7*C11</f>
        <v>6</v>
      </c>
      <c r="E7" t="s">
        <v>24</v>
      </c>
      <c r="F7" s="8">
        <v>300</v>
      </c>
      <c r="H7" s="2" t="s">
        <v>10</v>
      </c>
      <c r="I7" t="s">
        <v>19</v>
      </c>
    </row>
    <row r="8" spans="1:10" x14ac:dyDescent="0.35">
      <c r="A8" s="1" t="s">
        <v>25</v>
      </c>
      <c r="B8" s="8">
        <v>0</v>
      </c>
      <c r="C8" s="8">
        <v>1</v>
      </c>
      <c r="D8" s="1">
        <f>C8*C11</f>
        <v>2</v>
      </c>
      <c r="E8" t="s">
        <v>24</v>
      </c>
      <c r="F8" s="8">
        <v>20</v>
      </c>
      <c r="H8" s="2"/>
    </row>
    <row r="10" spans="1:10" x14ac:dyDescent="0.4">
      <c r="B10" s="1" t="s">
        <v>0</v>
      </c>
      <c r="C10" s="1" t="s">
        <v>1</v>
      </c>
      <c r="F10" s="1" t="s">
        <v>5</v>
      </c>
    </row>
    <row r="11" spans="1:10" x14ac:dyDescent="0.4">
      <c r="A11" s="1" t="s">
        <v>8</v>
      </c>
      <c r="B11" s="5">
        <v>1</v>
      </c>
      <c r="C11" s="5">
        <v>2</v>
      </c>
      <c r="F11">
        <f>SUMPRODUCT(Profit_per_batch, Batches_produced)</f>
        <v>5</v>
      </c>
    </row>
  </sheetData>
  <mergeCells count="2">
    <mergeCell ref="H1:J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12</vt:i4>
      </vt:variant>
    </vt:vector>
  </HeadingPairs>
  <TitlesOfParts>
    <vt:vector size="15" baseType="lpstr">
      <vt:lpstr>Data</vt:lpstr>
      <vt:lpstr>Solution</vt:lpstr>
      <vt:lpstr>Model</vt:lpstr>
      <vt:lpstr>Solution!Batches_produced</vt:lpstr>
      <vt:lpstr>Batches_produced</vt:lpstr>
      <vt:lpstr>Solution!Materials_available</vt:lpstr>
      <vt:lpstr>Materials_available</vt:lpstr>
      <vt:lpstr>Solution!Materials_used</vt:lpstr>
      <vt:lpstr>Materials_used</vt:lpstr>
      <vt:lpstr>Solution!Materials_used_per_batch_produced</vt:lpstr>
      <vt:lpstr>Materials_used_per_batch_produced</vt:lpstr>
      <vt:lpstr>Solution!Profit_per_batch</vt:lpstr>
      <vt:lpstr>Profit_per_batch</vt:lpstr>
      <vt:lpstr>Solution!Total_profit</vt:lpstr>
      <vt:lpstr>Total_profit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jingyao liu</dc:creator>
  <cp:lastModifiedBy>jingyao liu</cp:lastModifiedBy>
  <dcterms:created xsi:type="dcterms:W3CDTF">2025-10-06T14:30:14Z</dcterms:created>
  <dcterms:modified xsi:type="dcterms:W3CDTF">2025-10-07T18:23:08Z</dcterms:modified>
</cp:coreProperties>
</file>
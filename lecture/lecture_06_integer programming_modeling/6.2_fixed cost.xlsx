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work\teaching\bs_or 1_deterministic models\lectures\lecture_06_integer programming_modeling\"/>
    </mc:Choice>
  </mc:AlternateContent>
  <xr:revisionPtr revIDLastSave="0" documentId="13_ncr:1_{E066D359-40ED-44F1-AE4E-3549F6EBBCDA}" xr6:coauthVersionLast="47" xr6:coauthVersionMax="47" xr10:uidLastSave="{00000000-0000-0000-0000-000000000000}"/>
  <bookViews>
    <workbookView xWindow="400" yWindow="0" windowWidth="37600" windowHeight="20880" activeTab="2" xr2:uid="{00000000-000D-0000-FFFF-FFFF00000000}"/>
  </bookViews>
  <sheets>
    <sheet name="Exercise" sheetId="12" r:id="rId1"/>
    <sheet name="Data" sheetId="1" r:id="rId2"/>
    <sheet name="Model" sheetId="11" r:id="rId3"/>
    <sheet name="Solution" sheetId="13" r:id="rId4"/>
    <sheet name="Model (y int)" sheetId="14" r:id="rId5"/>
    <sheet name="Solution (y int)" sheetId="15" r:id="rId6"/>
    <sheet name="Sheet7" sheetId="10" state="veryHidden" r:id="rId7"/>
    <sheet name="Sheet6" sheetId="9" state="veryHidden" r:id="rId8"/>
    <sheet name="Sheet5" sheetId="8" state="veryHidden" r:id="rId9"/>
    <sheet name="Sheet4" sheetId="7" state="veryHidden" r:id="rId10"/>
    <sheet name="Sheet3" sheetId="6" state="veryHidden" r:id="rId11"/>
    <sheet name="Sheet2" sheetId="5" state="veryHidden" r:id="rId12"/>
    <sheet name="Sheet1" sheetId="4" state="veryHidden" r:id="rId13"/>
  </sheets>
  <definedNames>
    <definedName name="Available" localSheetId="4">'Model (y int)'!$D$22:$D$23</definedName>
    <definedName name="Available" localSheetId="3">Solution!$D$22:$D$23</definedName>
    <definedName name="Available" localSheetId="5">'Solution (y int)'!$D$22:$D$23</definedName>
    <definedName name="Available">Model!$D$22:$D$23</definedName>
    <definedName name="Cloth" localSheetId="4">'Model (y int)'!$B$6:$F$6</definedName>
    <definedName name="Cloth" localSheetId="3">Solution!$B$6:$F$6</definedName>
    <definedName name="Cloth" localSheetId="5">'Solution (y int)'!$B$6:$F$6</definedName>
    <definedName name="Cloth">Model!$B$6:$F$6</definedName>
    <definedName name="Fixed_cost_for_equipment" localSheetId="4">'Model (y int)'!$B$10:$F$10</definedName>
    <definedName name="Fixed_cost_for_equipment" localSheetId="3">Solution!$B$10:$F$10</definedName>
    <definedName name="Fixed_cost_for_equipment" localSheetId="5">'Solution (y int)'!$B$10:$F$10</definedName>
    <definedName name="Fixed_cost_for_equipment">Model!$B$10:$F$10</definedName>
    <definedName name="Labor_hours" localSheetId="4">'Model (y int)'!$B$5:$F$5</definedName>
    <definedName name="Labor_hours" localSheetId="3">Solution!$B$5:$F$5</definedName>
    <definedName name="Labor_hours" localSheetId="5">'Solution (y int)'!$B$5:$F$5</definedName>
    <definedName name="Labor_hours">Model!$B$5:$F$5</definedName>
    <definedName name="Logical_upper_limit" localSheetId="4">'Model (y int)'!$B$18:$F$18</definedName>
    <definedName name="Logical_upper_limit" localSheetId="3">Solution!$B$18:$F$18</definedName>
    <definedName name="Logical_upper_limit" localSheetId="5">'Solution (y int)'!$B$18:$F$18</definedName>
    <definedName name="Logical_upper_limit">Model!$B$18:$F$18</definedName>
    <definedName name="Produce_any?" localSheetId="4">'Model (y int)'!$B$14:$F$14</definedName>
    <definedName name="Produce_any?" localSheetId="3">Solution!$B$14:$F$14</definedName>
    <definedName name="Produce_any?" localSheetId="5">'Solution (y int)'!$B$14:$F$14</definedName>
    <definedName name="Produce_any?">Model!$B$14:$F$14</definedName>
    <definedName name="Profit" localSheetId="4">'Model (y int)'!$B$29</definedName>
    <definedName name="Profit" localSheetId="3">Solution!$B$29</definedName>
    <definedName name="Profit" localSheetId="5">'Solution (y int)'!$B$29</definedName>
    <definedName name="Profit">Model!$B$29</definedName>
    <definedName name="Resource_used" localSheetId="4">'Model (y int)'!$B$22:$B$23</definedName>
    <definedName name="Resource_used" localSheetId="3">Solution!$B$22:$B$23</definedName>
    <definedName name="Resource_used" localSheetId="5">'Solution (y int)'!$B$22:$B$23</definedName>
    <definedName name="Resource_used">Model!$B$22:$B$23</definedName>
    <definedName name="Revenue" localSheetId="4">'Model (y int)'!$B$26</definedName>
    <definedName name="Revenue" localSheetId="3">Solution!$B$26</definedName>
    <definedName name="Revenue" localSheetId="5">'Solution (y int)'!$B$26</definedName>
    <definedName name="Revenue">Model!$B$26</definedName>
    <definedName name="Selling_price" localSheetId="4">'Model (y int)'!$B$8:$F$8</definedName>
    <definedName name="Selling_price" localSheetId="3">Solution!$B$8:$F$8</definedName>
    <definedName name="Selling_price" localSheetId="5">'Solution (y int)'!$B$8:$F$8</definedName>
    <definedName name="Selling_price">Model!$B$8:$F$8</definedName>
    <definedName name="solver_adj" localSheetId="2" hidden="1">Model!$B$14:$F$14,Model!$B$16:$F$16</definedName>
    <definedName name="solver_adj" localSheetId="4" hidden="1">'Model (y int)'!$B$14:$F$14,'Model (y int)'!$B$16:$F$16</definedName>
    <definedName name="solver_adj" localSheetId="3" hidden="1">Solution!$B$14:$F$14,Solution!$B$16:$F$16</definedName>
    <definedName name="solver_adj" localSheetId="5" hidden="1">'Solution (y int)'!$B$14:$F$14,'Solution (y int)'!$B$16:$F$16</definedName>
    <definedName name="solver_cvg" localSheetId="2" hidden="1">0.0001</definedName>
    <definedName name="solver_cvg" localSheetId="4" hidden="1">0.0001</definedName>
    <definedName name="solver_cvg" localSheetId="3" hidden="1">0.0001</definedName>
    <definedName name="solver_cvg" localSheetId="5" hidden="1">0.0001</definedName>
    <definedName name="solver_drv" localSheetId="2" hidden="1">1</definedName>
    <definedName name="solver_drv" localSheetId="4" hidden="1">1</definedName>
    <definedName name="solver_drv" localSheetId="3" hidden="1">1</definedName>
    <definedName name="solver_drv" localSheetId="5" hidden="1">1</definedName>
    <definedName name="solver_eng" localSheetId="2" hidden="1">2</definedName>
    <definedName name="solver_eng" localSheetId="4" hidden="1">2</definedName>
    <definedName name="solver_eng" localSheetId="3" hidden="1">2</definedName>
    <definedName name="solver_eng" localSheetId="5" hidden="1">2</definedName>
    <definedName name="solver_est" localSheetId="2" hidden="1">1</definedName>
    <definedName name="solver_est" localSheetId="4" hidden="1">1</definedName>
    <definedName name="solver_est" localSheetId="3" hidden="1">1</definedName>
    <definedName name="solver_est" localSheetId="5" hidden="1">1</definedName>
    <definedName name="solver_itr" localSheetId="2" hidden="1">100</definedName>
    <definedName name="solver_itr" localSheetId="4" hidden="1">100</definedName>
    <definedName name="solver_itr" localSheetId="3" hidden="1">100</definedName>
    <definedName name="solver_itr" localSheetId="5" hidden="1">100</definedName>
    <definedName name="solver_lhs1" localSheetId="2" hidden="1">Model!$B$14:$F$14</definedName>
    <definedName name="solver_lhs1" localSheetId="4" hidden="1">'Model (y int)'!$B$14:$F$14</definedName>
    <definedName name="solver_lhs1" localSheetId="3" hidden="1">Solution!$B$14:$F$14</definedName>
    <definedName name="solver_lhs1" localSheetId="5" hidden="1">'Solution (y int)'!$B$14:$F$14</definedName>
    <definedName name="solver_lhs2" localSheetId="2" hidden="1">Model!$B$22:$B$23</definedName>
    <definedName name="solver_lhs2" localSheetId="4" hidden="1">'Model (y int)'!$B$22:$B$23</definedName>
    <definedName name="solver_lhs2" localSheetId="3" hidden="1">Solution!$B$22:$B$23</definedName>
    <definedName name="solver_lhs2" localSheetId="5" hidden="1">'Solution (y int)'!$B$22:$B$23</definedName>
    <definedName name="solver_lhs3" localSheetId="2" hidden="1">Model!$B$16:$F$16</definedName>
    <definedName name="solver_lhs3" localSheetId="4" hidden="1">'Model (y int)'!$B$16:$F$16</definedName>
    <definedName name="solver_lhs3" localSheetId="3" hidden="1">Solution!$B$16:$F$16</definedName>
    <definedName name="solver_lhs3" localSheetId="5" hidden="1">'Solution (y int)'!$B$16:$F$16</definedName>
    <definedName name="solver_lhs4" localSheetId="2" hidden="1">Model!$B$16:$F$16</definedName>
    <definedName name="solver_lhs4" localSheetId="4" hidden="1">'Model (y int)'!$B$16:$F$16</definedName>
    <definedName name="solver_lhs4" localSheetId="3" hidden="1">Solution!$B$16:$F$16</definedName>
    <definedName name="solver_lhs4" localSheetId="5" hidden="1">'Solution (y int)'!$B$16:$F$16</definedName>
    <definedName name="solver_lin" localSheetId="2" hidden="1">1</definedName>
    <definedName name="solver_lin" localSheetId="4" hidden="1">1</definedName>
    <definedName name="solver_lin" localSheetId="3" hidden="1">1</definedName>
    <definedName name="solver_lin" localSheetId="5" hidden="1">1</definedName>
    <definedName name="solver_mip" localSheetId="2" hidden="1">2147483647</definedName>
    <definedName name="solver_mip" localSheetId="4" hidden="1">2147483647</definedName>
    <definedName name="solver_mip" localSheetId="3" hidden="1">2147483647</definedName>
    <definedName name="solver_mip" localSheetId="5" hidden="1">2147483647</definedName>
    <definedName name="solver_mni" localSheetId="2" hidden="1">30</definedName>
    <definedName name="solver_mni" localSheetId="4" hidden="1">30</definedName>
    <definedName name="solver_mni" localSheetId="3" hidden="1">30</definedName>
    <definedName name="solver_mni" localSheetId="5" hidden="1">30</definedName>
    <definedName name="solver_mrt" localSheetId="2" hidden="1">0.075</definedName>
    <definedName name="solver_mrt" localSheetId="4" hidden="1">0.075</definedName>
    <definedName name="solver_mrt" localSheetId="3" hidden="1">0.075</definedName>
    <definedName name="solver_mrt" localSheetId="5" hidden="1">0.075</definedName>
    <definedName name="solver_msl" localSheetId="2" hidden="1">2</definedName>
    <definedName name="solver_msl" localSheetId="4" hidden="1">2</definedName>
    <definedName name="solver_msl" localSheetId="3" hidden="1">2</definedName>
    <definedName name="solver_msl" localSheetId="5" hidden="1">2</definedName>
    <definedName name="solver_neg" localSheetId="2" hidden="1">1</definedName>
    <definedName name="solver_neg" localSheetId="4" hidden="1">1</definedName>
    <definedName name="solver_neg" localSheetId="3" hidden="1">1</definedName>
    <definedName name="solver_neg" localSheetId="5" hidden="1">1</definedName>
    <definedName name="solver_nod" localSheetId="2" hidden="1">2147483647</definedName>
    <definedName name="solver_nod" localSheetId="4" hidden="1">2147483647</definedName>
    <definedName name="solver_nod" localSheetId="3" hidden="1">2147483647</definedName>
    <definedName name="solver_nod" localSheetId="5" hidden="1">2147483647</definedName>
    <definedName name="solver_num" localSheetId="2" hidden="1">3</definedName>
    <definedName name="solver_num" localSheetId="4" hidden="1">4</definedName>
    <definedName name="solver_num" localSheetId="3" hidden="1">3</definedName>
    <definedName name="solver_num" localSheetId="5" hidden="1">4</definedName>
    <definedName name="solver_nwt" localSheetId="2" hidden="1">1</definedName>
    <definedName name="solver_nwt" localSheetId="4" hidden="1">1</definedName>
    <definedName name="solver_nwt" localSheetId="3" hidden="1">1</definedName>
    <definedName name="solver_nwt" localSheetId="5" hidden="1">1</definedName>
    <definedName name="solver_opt" localSheetId="2" hidden="1">Model!$B$29</definedName>
    <definedName name="solver_opt" localSheetId="4" hidden="1">'Model (y int)'!$B$29</definedName>
    <definedName name="solver_opt" localSheetId="3" hidden="1">Solution!$B$29</definedName>
    <definedName name="solver_opt" localSheetId="5" hidden="1">'Solution (y int)'!$B$29</definedName>
    <definedName name="solver_pre" localSheetId="2" hidden="1">0.000001</definedName>
    <definedName name="solver_pre" localSheetId="4" hidden="1">0.000001</definedName>
    <definedName name="solver_pre" localSheetId="3" hidden="1">0.000001</definedName>
    <definedName name="solver_pre" localSheetId="5" hidden="1">0.000001</definedName>
    <definedName name="solver_rbv" localSheetId="2" hidden="1">1</definedName>
    <definedName name="solver_rbv" localSheetId="4" hidden="1">1</definedName>
    <definedName name="solver_rbv" localSheetId="3" hidden="1">1</definedName>
    <definedName name="solver_rbv" localSheetId="5" hidden="1">1</definedName>
    <definedName name="solver_rel1" localSheetId="2" hidden="1">5</definedName>
    <definedName name="solver_rel1" localSheetId="4" hidden="1">5</definedName>
    <definedName name="solver_rel1" localSheetId="3" hidden="1">5</definedName>
    <definedName name="solver_rel1" localSheetId="5" hidden="1">5</definedName>
    <definedName name="solver_rel2" localSheetId="2" hidden="1">1</definedName>
    <definedName name="solver_rel2" localSheetId="4" hidden="1">1</definedName>
    <definedName name="solver_rel2" localSheetId="3" hidden="1">1</definedName>
    <definedName name="solver_rel2" localSheetId="5" hidden="1">1</definedName>
    <definedName name="solver_rel3" localSheetId="2" hidden="1">1</definedName>
    <definedName name="solver_rel3" localSheetId="4" hidden="1">1</definedName>
    <definedName name="solver_rel3" localSheetId="3" hidden="1">1</definedName>
    <definedName name="solver_rel3" localSheetId="5" hidden="1">1</definedName>
    <definedName name="solver_rel4" localSheetId="2" hidden="1">4</definedName>
    <definedName name="solver_rel4" localSheetId="4" hidden="1">4</definedName>
    <definedName name="solver_rel4" localSheetId="3" hidden="1">4</definedName>
    <definedName name="solver_rel4" localSheetId="5" hidden="1">4</definedName>
    <definedName name="solver_rhs1" localSheetId="2" hidden="1">binary</definedName>
    <definedName name="solver_rhs1" localSheetId="4" hidden="1">binary</definedName>
    <definedName name="solver_rhs1" localSheetId="3" hidden="1">binary</definedName>
    <definedName name="solver_rhs1" localSheetId="5" hidden="1">binary</definedName>
    <definedName name="solver_rhs2" localSheetId="2" hidden="1">Available</definedName>
    <definedName name="solver_rhs2" localSheetId="4" hidden="1">'Model (y int)'!Available</definedName>
    <definedName name="solver_rhs2" localSheetId="3" hidden="1">Solution!Available</definedName>
    <definedName name="solver_rhs2" localSheetId="5" hidden="1">'Solution (y int)'!$D$22:$D$23</definedName>
    <definedName name="solver_rhs3" localSheetId="2" hidden="1">Logical_upper_limit</definedName>
    <definedName name="solver_rhs3" localSheetId="4" hidden="1">'Model (y int)'!Logical_upper_limit</definedName>
    <definedName name="solver_rhs3" localSheetId="3" hidden="1">Solution!Logical_upper_limit</definedName>
    <definedName name="solver_rhs3" localSheetId="5" hidden="1">'Solution (y int)'!$B$18:$F$18</definedName>
    <definedName name="solver_rhs4" localSheetId="2" hidden="1">integer</definedName>
    <definedName name="solver_rhs4" localSheetId="4" hidden="1">integer</definedName>
    <definedName name="solver_rhs4" localSheetId="3" hidden="1">integer</definedName>
    <definedName name="solver_rhs4" localSheetId="5" hidden="1">integer</definedName>
    <definedName name="solver_rlx" localSheetId="2" hidden="1">2</definedName>
    <definedName name="solver_rlx" localSheetId="4" hidden="1">2</definedName>
    <definedName name="solver_rlx" localSheetId="3" hidden="1">2</definedName>
    <definedName name="solver_rlx" localSheetId="5" hidden="1">2</definedName>
    <definedName name="solver_rsd" localSheetId="2" hidden="1">0</definedName>
    <definedName name="solver_rsd" localSheetId="4" hidden="1">0</definedName>
    <definedName name="solver_rsd" localSheetId="3" hidden="1">0</definedName>
    <definedName name="solver_rsd" localSheetId="5" hidden="1">0</definedName>
    <definedName name="solver_scl" localSheetId="2" hidden="1">2</definedName>
    <definedName name="solver_scl" localSheetId="4" hidden="1">2</definedName>
    <definedName name="solver_scl" localSheetId="3" hidden="1">2</definedName>
    <definedName name="solver_scl" localSheetId="5" hidden="1">2</definedName>
    <definedName name="solver_sho" localSheetId="2" hidden="1">2</definedName>
    <definedName name="solver_sho" localSheetId="4" hidden="1">2</definedName>
    <definedName name="solver_sho" localSheetId="3" hidden="1">2</definedName>
    <definedName name="solver_sho" localSheetId="5" hidden="1">2</definedName>
    <definedName name="solver_ssz" localSheetId="2" hidden="1">100</definedName>
    <definedName name="solver_ssz" localSheetId="4" hidden="1">100</definedName>
    <definedName name="solver_ssz" localSheetId="3" hidden="1">100</definedName>
    <definedName name="solver_ssz" localSheetId="5" hidden="1">100</definedName>
    <definedName name="solver_tim" localSheetId="2" hidden="1">100</definedName>
    <definedName name="solver_tim" localSheetId="4" hidden="1">100</definedName>
    <definedName name="solver_tim" localSheetId="3" hidden="1">100</definedName>
    <definedName name="solver_tim" localSheetId="5" hidden="1">100</definedName>
    <definedName name="solver_tol" localSheetId="2" hidden="1">0.01</definedName>
    <definedName name="solver_tol" localSheetId="4" hidden="1">0.01</definedName>
    <definedName name="solver_tol" localSheetId="3" hidden="1">0.01</definedName>
    <definedName name="solver_tol" localSheetId="5" hidden="1">0.01</definedName>
    <definedName name="solver_typ" localSheetId="2" hidden="1">1</definedName>
    <definedName name="solver_typ" localSheetId="4" hidden="1">1</definedName>
    <definedName name="solver_typ" localSheetId="3" hidden="1">1</definedName>
    <definedName name="solver_typ" localSheetId="5" hidden="1">1</definedName>
    <definedName name="solver_val" localSheetId="2" hidden="1">0</definedName>
    <definedName name="solver_val" localSheetId="4" hidden="1">0</definedName>
    <definedName name="solver_val" localSheetId="3" hidden="1">0</definedName>
    <definedName name="solver_val" localSheetId="5" hidden="1">0</definedName>
    <definedName name="solver_ver" localSheetId="2" hidden="1">3</definedName>
    <definedName name="solver_ver" localSheetId="4" hidden="1">3</definedName>
    <definedName name="solver_ver" localSheetId="3" hidden="1">3</definedName>
    <definedName name="solver_ver" localSheetId="5" hidden="1">3</definedName>
    <definedName name="Total_fixed_cost_for_equipment" localSheetId="4">'Model (y int)'!$B$28</definedName>
    <definedName name="Total_fixed_cost_for_equipment" localSheetId="3">Solution!$B$28</definedName>
    <definedName name="Total_fixed_cost_for_equipment" localSheetId="5">'Solution (y int)'!$B$28</definedName>
    <definedName name="Total_fixed_cost_for_equipment">Model!$B$28</definedName>
    <definedName name="Total_variable_cost" localSheetId="4">'Model (y int)'!$B$27</definedName>
    <definedName name="Total_variable_cost" localSheetId="3">Solution!$B$27</definedName>
    <definedName name="Total_variable_cost" localSheetId="5">'Solution (y int)'!$B$27</definedName>
    <definedName name="Total_variable_cost">Model!$B$27</definedName>
    <definedName name="Units_produced" localSheetId="4">'Model (y int)'!$B$16:$F$16</definedName>
    <definedName name="Units_produced" localSheetId="3">Solution!$B$16:$F$16</definedName>
    <definedName name="Units_produced" localSheetId="5">'Solution (y int)'!$B$16:$F$16</definedName>
    <definedName name="Units_produced">Model!$B$16:$F$16</definedName>
    <definedName name="Variable_cost" localSheetId="4">'Model (y int)'!$B$9:$F$9</definedName>
    <definedName name="Variable_cost" localSheetId="3">Solution!$B$9:$F$9</definedName>
    <definedName name="Variable_cost" localSheetId="5">'Solution (y int)'!$B$9:$F$9</definedName>
    <definedName name="Variable_cost">Model!$B$9:$F$9</definedName>
  </definedNames>
  <calcPr calcId="191029" iterateDelta="9.9999999999999995E-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8" i="15" l="1"/>
  <c r="B27" i="15"/>
  <c r="B26" i="15"/>
  <c r="B23" i="15"/>
  <c r="B22" i="15"/>
  <c r="F18" i="15"/>
  <c r="E18" i="15"/>
  <c r="D18" i="15"/>
  <c r="C18" i="15"/>
  <c r="B18" i="15"/>
  <c r="B28" i="14"/>
  <c r="B27" i="14"/>
  <c r="B26" i="14"/>
  <c r="B29" i="14" s="1"/>
  <c r="B23" i="14"/>
  <c r="B22" i="14"/>
  <c r="F18" i="14"/>
  <c r="E18" i="14"/>
  <c r="D18" i="14"/>
  <c r="C18" i="14"/>
  <c r="B18" i="14"/>
  <c r="B29" i="15" l="1"/>
  <c r="B28" i="13" l="1"/>
  <c r="B27" i="13"/>
  <c r="B26" i="13"/>
  <c r="B29" i="13" s="1"/>
  <c r="B23" i="13"/>
  <c r="B22" i="13"/>
  <c r="F18" i="13"/>
  <c r="E18" i="13"/>
  <c r="D18" i="13"/>
  <c r="C18" i="13"/>
  <c r="B18" i="13"/>
  <c r="B18" i="11"/>
  <c r="C18" i="11"/>
  <c r="D18" i="11"/>
  <c r="E18" i="11"/>
  <c r="F18" i="11"/>
  <c r="B28" i="11"/>
  <c r="B27" i="11"/>
  <c r="B29" i="11" s="1"/>
  <c r="B26" i="11"/>
  <c r="B23" i="11"/>
  <c r="B22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Lei</author>
  </authors>
  <commentList>
    <comment ref="A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/unit</t>
        </r>
      </text>
    </comment>
    <comment ref="A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(sq. yd.)/unit</t>
        </r>
      </text>
    </comment>
    <comment ref="A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/unit</t>
        </r>
      </text>
    </comment>
    <comment ref="A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/unit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Lei</author>
  </authors>
  <commentList>
    <comment ref="A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/unit</t>
        </r>
      </text>
    </comment>
    <comment ref="A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(sq. yd.)/unit</t>
        </r>
      </text>
    </comment>
    <comment ref="A8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/unit</t>
        </r>
      </text>
    </comment>
    <comment ref="A9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/unit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Lei</author>
  </authors>
  <commentList>
    <comment ref="A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/unit</t>
        </r>
      </text>
    </comment>
    <comment ref="A6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(sq. yd.)/unit</t>
        </r>
      </text>
    </comment>
    <comment ref="A8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/unit</t>
        </r>
      </text>
    </comment>
    <comment ref="A9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/unit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Lei</author>
  </authors>
  <commentList>
    <comment ref="A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/unit</t>
        </r>
      </text>
    </comment>
    <comment ref="A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(sq. yd.)/unit</t>
        </r>
      </text>
    </comment>
    <comment ref="A8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/unit</t>
        </r>
      </text>
    </comment>
    <comment ref="A9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/unit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Lei</author>
  </authors>
  <commentList>
    <comment ref="A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/unit</t>
        </r>
      </text>
    </comment>
    <comment ref="A6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(sq. yd.)/unit</t>
        </r>
      </text>
    </comment>
    <comment ref="A8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/unit</t>
        </r>
      </text>
    </comment>
    <comment ref="A9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/unit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Lei</author>
  </authors>
  <commentList>
    <comment ref="A5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/unit</t>
        </r>
      </text>
    </comment>
    <comment ref="A6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(sq. yd.)/unit</t>
        </r>
      </text>
    </comment>
    <comment ref="A8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/unit</t>
        </r>
      </text>
    </comment>
    <comment ref="A9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/unit</t>
        </r>
      </text>
    </comment>
  </commentList>
</comments>
</file>

<file path=xl/sharedStrings.xml><?xml version="1.0" encoding="utf-8"?>
<sst xmlns="http://schemas.openxmlformats.org/spreadsheetml/2006/main" count="330" uniqueCount="71">
  <si>
    <t>Shirts</t>
  </si>
  <si>
    <t>Shorts</t>
  </si>
  <si>
    <t>Pants</t>
  </si>
  <si>
    <t>Units produced</t>
  </si>
  <si>
    <t>Constraints on resources</t>
  </si>
  <si>
    <t>Labor hours</t>
  </si>
  <si>
    <t>Cloth</t>
  </si>
  <si>
    <t>Profit</t>
  </si>
  <si>
    <t>Input data on products</t>
  </si>
  <si>
    <t>Fixed cost for equipment</t>
  </si>
  <si>
    <t>Great Threads fixed cost clothing model</t>
  </si>
  <si>
    <t>Resource used</t>
  </si>
  <si>
    <t>Production plan, constraints on capacity</t>
  </si>
  <si>
    <t>Monetary outputs</t>
  </si>
  <si>
    <t>Skirts</t>
  </si>
  <si>
    <t>Jackets</t>
  </si>
  <si>
    <t>Available</t>
  </si>
  <si>
    <t>Logical upper limit</t>
  </si>
  <si>
    <t>Total fixed cost for equipment</t>
    <phoneticPr fontId="5" type="noConversion"/>
  </si>
  <si>
    <t xml:space="preserve">Cloth </t>
    <phoneticPr fontId="5" type="noConversion"/>
  </si>
  <si>
    <t>Labor hours</t>
    <phoneticPr fontId="5" type="noConversion"/>
  </si>
  <si>
    <t>Selling price</t>
    <phoneticPr fontId="5" type="noConversion"/>
  </si>
  <si>
    <t>Variable cost</t>
    <phoneticPr fontId="5" type="noConversion"/>
  </si>
  <si>
    <t>Produce any?</t>
    <phoneticPr fontId="5" type="noConversion"/>
  </si>
  <si>
    <t>Total variable cost</t>
    <phoneticPr fontId="5" type="noConversion"/>
  </si>
  <si>
    <t>Revenue</t>
    <phoneticPr fontId="5" type="noConversion"/>
  </si>
  <si>
    <t>=Model!$D$22:$D$23</t>
  </si>
  <si>
    <t>=Model!$B$6:$F$6</t>
  </si>
  <si>
    <t>Fixed_cost_for_equipment</t>
  </si>
  <si>
    <t>=Model!$B$10:$F$10</t>
  </si>
  <si>
    <t>Labor_hours</t>
  </si>
  <si>
    <t>=Model!$B$5:$F$5</t>
  </si>
  <si>
    <t>Logical_upper_limit</t>
  </si>
  <si>
    <t>=Model!$B$18:$F$18</t>
  </si>
  <si>
    <t>Produce_any?</t>
  </si>
  <si>
    <t>=Model!$B$14:$F$14</t>
  </si>
  <si>
    <t>=Model!$B$29</t>
  </si>
  <si>
    <t>Resource_used</t>
  </si>
  <si>
    <t>=Model!$B$22:$B$23</t>
  </si>
  <si>
    <t>Revenue</t>
  </si>
  <si>
    <t>=Model!$B$26</t>
  </si>
  <si>
    <t>Selling_price</t>
  </si>
  <si>
    <t>=Model!$B$8:$F$8</t>
  </si>
  <si>
    <t>Total_fixed_cost_for_equipment</t>
  </si>
  <si>
    <t>=Model!$B$28</t>
  </si>
  <si>
    <t>Total_variable_cost</t>
  </si>
  <si>
    <t>=Model!$B$27</t>
  </si>
  <si>
    <t>Units_produced</t>
  </si>
  <si>
    <t>=Model!$B$16:$F$16</t>
  </si>
  <si>
    <t>&lt;=</t>
    <phoneticPr fontId="5" type="noConversion"/>
  </si>
  <si>
    <t>Variable_cost</t>
  </si>
  <si>
    <t>=Model!$B$9:$F$9</t>
  </si>
  <si>
    <r>
      <t>R</t>
    </r>
    <r>
      <rPr>
        <b/>
        <sz val="10"/>
        <rFont val="Arial"/>
        <family val="2"/>
      </rPr>
      <t>ange names</t>
    </r>
    <phoneticPr fontId="5" type="noConversion"/>
  </si>
  <si>
    <t>Resource used</t>
    <phoneticPr fontId="5" type="noConversion"/>
  </si>
  <si>
    <t>Labor hours</t>
    <phoneticPr fontId="5" type="noConversion"/>
  </si>
  <si>
    <t xml:space="preserve">Cloth </t>
    <phoneticPr fontId="5" type="noConversion"/>
  </si>
  <si>
    <t>Selling price</t>
    <phoneticPr fontId="5" type="noConversion"/>
  </si>
  <si>
    <t>Variable cost</t>
    <phoneticPr fontId="5" type="noConversion"/>
  </si>
  <si>
    <t>Produce any?</t>
    <phoneticPr fontId="5" type="noConversion"/>
  </si>
  <si>
    <t>&lt;=</t>
    <phoneticPr fontId="5" type="noConversion"/>
  </si>
  <si>
    <t>&lt;=</t>
    <phoneticPr fontId="5" type="noConversion"/>
  </si>
  <si>
    <t>Revenue</t>
    <phoneticPr fontId="5" type="noConversion"/>
  </si>
  <si>
    <t>Total variable cost</t>
    <phoneticPr fontId="5" type="noConversion"/>
  </si>
  <si>
    <t>Total fixed cost for equipment</t>
    <phoneticPr fontId="5" type="noConversion"/>
  </si>
  <si>
    <r>
      <t>R</t>
    </r>
    <r>
      <rPr>
        <b/>
        <sz val="10"/>
        <rFont val="Arial"/>
        <family val="2"/>
      </rPr>
      <t>ange names</t>
    </r>
    <phoneticPr fontId="5" type="noConversion"/>
  </si>
  <si>
    <t>Labor hours</t>
    <phoneticPr fontId="5" type="noConversion"/>
  </si>
  <si>
    <t>Variable cost</t>
    <phoneticPr fontId="5" type="noConversion"/>
  </si>
  <si>
    <t>&lt;=</t>
    <phoneticPr fontId="5" type="noConversion"/>
  </si>
  <si>
    <t>Revenue</t>
    <phoneticPr fontId="5" type="noConversion"/>
  </si>
  <si>
    <t>Total variable cost</t>
    <phoneticPr fontId="5" type="noConversion"/>
  </si>
  <si>
    <t>Total fixed cost for equipment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</si>
</sst>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76" formatCode="&quot;$&quot;#,##0;\-&quot;$&quot;#,##0"/>
  </numFmts>
  <fonts count="9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9"/>
      <color indexed="81"/>
      <name val="Tahoma"/>
      <family val="2"/>
    </font>
    <font>
      <sz val="9"/>
      <name val="宋体"/>
      <family val="3"/>
      <charset val="134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/>
      <right/>
      <top style="medium">
        <color indexed="12"/>
      </top>
      <bottom/>
      <diagonal/>
    </border>
    <border>
      <left/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/>
      <top/>
      <bottom style="medium">
        <color indexed="12"/>
      </bottom>
      <diagonal/>
    </border>
    <border>
      <left/>
      <right/>
      <top/>
      <bottom style="medium">
        <color indexed="12"/>
      </bottom>
      <diagonal/>
    </border>
    <border>
      <left/>
      <right style="medium">
        <color indexed="12"/>
      </right>
      <top/>
      <bottom style="medium">
        <color indexed="12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 style="medium">
        <color indexed="12"/>
      </bottom>
      <diagonal/>
    </border>
    <border>
      <left style="medium">
        <color indexed="12"/>
      </left>
      <right/>
      <top/>
      <bottom/>
      <diagonal/>
    </border>
    <border>
      <left/>
      <right style="medium">
        <color indexed="12"/>
      </right>
      <top/>
      <bottom/>
      <diagonal/>
    </border>
    <border>
      <left/>
      <right/>
      <top style="medium">
        <color indexed="10"/>
      </top>
      <bottom style="medium">
        <color indexed="10"/>
      </bottom>
      <diagonal/>
    </border>
    <border>
      <left style="medium">
        <color indexed="10"/>
      </left>
      <right/>
      <top style="medium">
        <color indexed="10"/>
      </top>
      <bottom style="medium">
        <color indexed="10"/>
      </bottom>
      <diagonal/>
    </border>
    <border>
      <left/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double">
        <color rgb="FF00B050"/>
      </left>
      <right style="double">
        <color rgb="FF00B050"/>
      </right>
      <top style="double">
        <color rgb="FF00B050"/>
      </top>
      <bottom style="double">
        <color rgb="FF00B05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ill="1" applyBorder="1"/>
    <xf numFmtId="6" fontId="0" fillId="0" borderId="0" xfId="0" applyNumberFormat="1" applyFill="1" applyBorder="1"/>
    <xf numFmtId="0" fontId="0" fillId="0" borderId="0" xfId="0" quotePrefix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176" fontId="0" fillId="2" borderId="1" xfId="0" applyNumberFormat="1" applyFill="1" applyBorder="1"/>
    <xf numFmtId="176" fontId="0" fillId="2" borderId="2" xfId="0" applyNumberFormat="1" applyFill="1" applyBorder="1"/>
    <xf numFmtId="176" fontId="0" fillId="2" borderId="9" xfId="0" applyNumberFormat="1" applyFill="1" applyBorder="1"/>
    <xf numFmtId="176" fontId="0" fillId="2" borderId="0" xfId="0" applyNumberFormat="1" applyFill="1" applyBorder="1"/>
    <xf numFmtId="176" fontId="0" fillId="2" borderId="4" xfId="0" applyNumberFormat="1" applyFill="1" applyBorder="1"/>
    <xf numFmtId="176" fontId="0" fillId="2" borderId="5" xfId="0" applyNumberFormat="1" applyFill="1" applyBorder="1"/>
    <xf numFmtId="176" fontId="0" fillId="2" borderId="6" xfId="0" applyNumberFormat="1" applyFill="1" applyBorder="1"/>
    <xf numFmtId="2" fontId="0" fillId="0" borderId="0" xfId="0" applyNumberFormat="1"/>
    <xf numFmtId="0" fontId="4" fillId="0" borderId="0" xfId="0" applyFont="1"/>
    <xf numFmtId="0" fontId="3" fillId="0" borderId="0" xfId="0" applyFont="1"/>
    <xf numFmtId="0" fontId="0" fillId="0" borderId="0" xfId="0" applyNumberFormat="1"/>
    <xf numFmtId="6" fontId="0" fillId="2" borderId="2" xfId="0" applyNumberFormat="1" applyFill="1" applyBorder="1"/>
    <xf numFmtId="6" fontId="0" fillId="2" borderId="3" xfId="0" applyNumberFormat="1" applyFill="1" applyBorder="1"/>
    <xf numFmtId="6" fontId="0" fillId="2" borderId="0" xfId="0" applyNumberFormat="1" applyFill="1" applyBorder="1"/>
    <xf numFmtId="6" fontId="0" fillId="2" borderId="10" xfId="0" applyNumberFormat="1" applyFill="1" applyBorder="1"/>
    <xf numFmtId="0" fontId="0" fillId="0" borderId="11" xfId="0" applyBorder="1"/>
    <xf numFmtId="1" fontId="0" fillId="0" borderId="12" xfId="0" applyNumberFormat="1" applyFill="1" applyBorder="1"/>
    <xf numFmtId="1" fontId="0" fillId="0" borderId="11" xfId="0" applyNumberFormat="1" applyFill="1" applyBorder="1"/>
    <xf numFmtId="2" fontId="0" fillId="0" borderId="13" xfId="0" applyNumberFormat="1" applyBorder="1"/>
    <xf numFmtId="2" fontId="0" fillId="0" borderId="11" xfId="0" applyNumberFormat="1" applyFill="1" applyBorder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left"/>
    </xf>
    <xf numFmtId="0" fontId="0" fillId="3" borderId="0" xfId="0" applyFill="1"/>
    <xf numFmtId="6" fontId="0" fillId="0" borderId="14" xfId="0" applyNumberFormat="1" applyFill="1" applyBorder="1"/>
    <xf numFmtId="0" fontId="0" fillId="0" borderId="0" xfId="0" applyNumberFormat="1" applyAlignment="1">
      <alignment horizontal="left"/>
    </xf>
    <xf numFmtId="0" fontId="2" fillId="0" borderId="0" xfId="0" applyFont="1"/>
    <xf numFmtId="1" fontId="0" fillId="0" borderId="12" xfId="0" applyNumberFormat="1" applyFill="1" applyBorder="1" applyAlignment="1">
      <alignment horizontal="center"/>
    </xf>
    <xf numFmtId="1" fontId="0" fillId="0" borderId="11" xfId="0" applyNumberForma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0" xfId="0" applyFont="1" applyFill="1"/>
    <xf numFmtId="0" fontId="0" fillId="0" borderId="0" xfId="0" applyFill="1"/>
    <xf numFmtId="2" fontId="0" fillId="0" borderId="12" xfId="0" applyNumberFormat="1" applyFill="1" applyBorder="1"/>
    <xf numFmtId="2" fontId="0" fillId="0" borderId="11" xfId="0" applyNumberFormat="1" applyBorder="1"/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2" fontId="8" fillId="0" borderId="11" xfId="0" applyNumberFormat="1" applyFont="1" applyFill="1" applyBorder="1"/>
    <xf numFmtId="2" fontId="8" fillId="0" borderId="13" xfId="0" applyNumberFormat="1" applyFont="1" applyBorder="1"/>
    <xf numFmtId="2" fontId="8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15</xdr:col>
      <xdr:colOff>0</xdr:colOff>
      <xdr:row>11</xdr:row>
      <xdr:rowOff>109537</xdr:rowOff>
    </xdr:to>
    <xdr:pic>
      <xdr:nvPicPr>
        <xdr:cNvPr id="3082" name="Picture 1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4175" y="495300"/>
          <a:ext cx="5781675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14</xdr:col>
      <xdr:colOff>642257</xdr:colOff>
      <xdr:row>11</xdr:row>
      <xdr:rowOff>109537</xdr:rowOff>
    </xdr:to>
    <xdr:pic>
      <xdr:nvPicPr>
        <xdr:cNvPr id="1050" name="Picture 1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4175" y="495300"/>
          <a:ext cx="5776232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16</xdr:row>
      <xdr:rowOff>0</xdr:rowOff>
    </xdr:from>
    <xdr:to>
      <xdr:col>12</xdr:col>
      <xdr:colOff>244929</xdr:colOff>
      <xdr:row>24</xdr:row>
      <xdr:rowOff>119062</xdr:rowOff>
    </xdr:to>
    <xdr:pic>
      <xdr:nvPicPr>
        <xdr:cNvPr id="2068" name="Picture 1">
          <a:extLst>
            <a:ext uri="{FF2B5EF4-FFF2-40B4-BE49-F238E27FC236}">
              <a16:creationId xmlns:a16="http://schemas.microsoft.com/office/drawing/2014/main" id="{00000000-0008-0000-0200-00001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4175" y="2647950"/>
          <a:ext cx="5793242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16</xdr:row>
      <xdr:rowOff>0</xdr:rowOff>
    </xdr:from>
    <xdr:to>
      <xdr:col>12</xdr:col>
      <xdr:colOff>244929</xdr:colOff>
      <xdr:row>24</xdr:row>
      <xdr:rowOff>119062</xdr:rowOff>
    </xdr:to>
    <xdr:pic>
      <xdr:nvPicPr>
        <xdr:cNvPr id="4106" name="Picture 1">
          <a:extLst>
            <a:ext uri="{FF2B5EF4-FFF2-40B4-BE49-F238E27FC236}">
              <a16:creationId xmlns:a16="http://schemas.microsoft.com/office/drawing/2014/main" id="{00000000-0008-0000-0300-00000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4175" y="2647950"/>
          <a:ext cx="5793242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16</xdr:row>
      <xdr:rowOff>0</xdr:rowOff>
    </xdr:from>
    <xdr:to>
      <xdr:col>12</xdr:col>
      <xdr:colOff>244929</xdr:colOff>
      <xdr:row>24</xdr:row>
      <xdr:rowOff>119062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2616200"/>
          <a:ext cx="5597979" cy="1408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16</xdr:row>
      <xdr:rowOff>0</xdr:rowOff>
    </xdr:from>
    <xdr:to>
      <xdr:col>12</xdr:col>
      <xdr:colOff>244929</xdr:colOff>
      <xdr:row>24</xdr:row>
      <xdr:rowOff>119062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2616200"/>
          <a:ext cx="5597979" cy="1408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1"/>
  <sheetViews>
    <sheetView workbookViewId="0">
      <selection activeCell="E22" sqref="E22"/>
    </sheetView>
  </sheetViews>
  <sheetFormatPr defaultRowHeight="12.5" x14ac:dyDescent="0.25"/>
  <cols>
    <col min="1" max="1" width="30.08984375" customWidth="1"/>
    <col min="2" max="2" width="13.54296875" bestFit="1" customWidth="1"/>
    <col min="3" max="3" width="12" customWidth="1"/>
    <col min="4" max="4" width="11.453125" customWidth="1"/>
    <col min="9" max="9" width="17.453125" customWidth="1"/>
  </cols>
  <sheetData>
    <row r="1" spans="1:10" ht="13" x14ac:dyDescent="0.3">
      <c r="A1" s="35" t="s">
        <v>10</v>
      </c>
      <c r="B1" s="36"/>
    </row>
    <row r="3" spans="1:10" ht="13" x14ac:dyDescent="0.3">
      <c r="A3" s="44" t="s">
        <v>8</v>
      </c>
      <c r="I3" s="23"/>
    </row>
    <row r="4" spans="1:10" ht="13" thickBot="1" x14ac:dyDescent="0.3">
      <c r="B4" s="34" t="s">
        <v>0</v>
      </c>
      <c r="C4" s="34" t="s">
        <v>1</v>
      </c>
      <c r="D4" s="34" t="s">
        <v>2</v>
      </c>
      <c r="E4" s="34" t="s">
        <v>14</v>
      </c>
      <c r="F4" s="34" t="s">
        <v>15</v>
      </c>
      <c r="I4" s="24"/>
      <c r="J4" s="24"/>
    </row>
    <row r="5" spans="1:10" x14ac:dyDescent="0.25">
      <c r="A5" t="s">
        <v>20</v>
      </c>
      <c r="B5" s="6">
        <v>2</v>
      </c>
      <c r="C5" s="7">
        <v>1</v>
      </c>
      <c r="D5" s="7">
        <v>6</v>
      </c>
      <c r="E5" s="7">
        <v>4</v>
      </c>
      <c r="F5" s="8">
        <v>8</v>
      </c>
      <c r="I5" s="24"/>
      <c r="J5" s="24"/>
    </row>
    <row r="6" spans="1:10" ht="13" thickBot="1" x14ac:dyDescent="0.3">
      <c r="A6" t="s">
        <v>19</v>
      </c>
      <c r="B6" s="9">
        <v>3</v>
      </c>
      <c r="C6" s="10">
        <v>2.5</v>
      </c>
      <c r="D6" s="10">
        <v>4</v>
      </c>
      <c r="E6" s="10">
        <v>4.5</v>
      </c>
      <c r="F6" s="11">
        <v>5.5</v>
      </c>
      <c r="I6" s="24"/>
      <c r="J6" s="24"/>
    </row>
    <row r="7" spans="1:10" ht="13" thickBot="1" x14ac:dyDescent="0.3">
      <c r="B7" s="3"/>
      <c r="C7" s="3"/>
      <c r="D7" s="3"/>
      <c r="I7" s="24"/>
      <c r="J7" s="24"/>
    </row>
    <row r="8" spans="1:10" x14ac:dyDescent="0.25">
      <c r="A8" t="s">
        <v>21</v>
      </c>
      <c r="B8" s="14">
        <v>35</v>
      </c>
      <c r="C8" s="15">
        <v>40</v>
      </c>
      <c r="D8" s="15">
        <v>65</v>
      </c>
      <c r="E8" s="25">
        <v>70</v>
      </c>
      <c r="F8" s="26">
        <v>110</v>
      </c>
      <c r="I8" s="24"/>
      <c r="J8" s="24"/>
    </row>
    <row r="9" spans="1:10" x14ac:dyDescent="0.25">
      <c r="A9" t="s">
        <v>22</v>
      </c>
      <c r="B9" s="16">
        <v>20</v>
      </c>
      <c r="C9" s="17">
        <v>10</v>
      </c>
      <c r="D9" s="17">
        <v>25</v>
      </c>
      <c r="E9" s="27">
        <v>30</v>
      </c>
      <c r="F9" s="28">
        <v>35</v>
      </c>
      <c r="I9" s="24"/>
      <c r="J9" s="24"/>
    </row>
    <row r="10" spans="1:10" ht="13" thickBot="1" x14ac:dyDescent="0.3">
      <c r="A10" t="s">
        <v>9</v>
      </c>
      <c r="B10" s="18">
        <v>1500</v>
      </c>
      <c r="C10" s="19">
        <v>1200</v>
      </c>
      <c r="D10" s="19">
        <v>1600</v>
      </c>
      <c r="E10" s="19">
        <v>1500</v>
      </c>
      <c r="F10" s="20">
        <v>1600</v>
      </c>
    </row>
    <row r="11" spans="1:10" ht="13" x14ac:dyDescent="0.3">
      <c r="D11" s="1"/>
    </row>
    <row r="12" spans="1:10" ht="13" x14ac:dyDescent="0.3">
      <c r="A12" s="44" t="s">
        <v>12</v>
      </c>
      <c r="B12" s="45"/>
      <c r="D12" s="1"/>
    </row>
    <row r="13" spans="1:10" ht="13" thickBot="1" x14ac:dyDescent="0.3">
      <c r="B13" s="34" t="s">
        <v>0</v>
      </c>
      <c r="C13" s="34" t="s">
        <v>1</v>
      </c>
      <c r="D13" s="34" t="s">
        <v>2</v>
      </c>
      <c r="E13" s="34" t="s">
        <v>14</v>
      </c>
      <c r="F13" s="34" t="s">
        <v>15</v>
      </c>
      <c r="G13" s="2"/>
      <c r="I13" s="2"/>
    </row>
    <row r="14" spans="1:10" ht="13" thickBot="1" x14ac:dyDescent="0.3">
      <c r="A14" t="s">
        <v>23</v>
      </c>
      <c r="B14" s="40"/>
      <c r="C14" s="41"/>
      <c r="D14" s="41"/>
      <c r="E14" s="42"/>
      <c r="F14" s="43"/>
      <c r="H14" s="34"/>
    </row>
    <row r="15" spans="1:10" ht="13" thickBot="1" x14ac:dyDescent="0.3">
      <c r="B15" s="2"/>
      <c r="C15" s="2"/>
      <c r="D15" s="2"/>
    </row>
    <row r="16" spans="1:10" ht="13" thickBot="1" x14ac:dyDescent="0.3">
      <c r="A16" t="s">
        <v>3</v>
      </c>
      <c r="B16" s="30"/>
      <c r="C16" s="33"/>
      <c r="D16" s="31"/>
      <c r="E16" s="29"/>
      <c r="F16" s="32"/>
    </row>
    <row r="17" spans="1:6" x14ac:dyDescent="0.25">
      <c r="B17" s="5"/>
      <c r="C17" s="5"/>
      <c r="D17" s="5"/>
      <c r="E17" s="5"/>
      <c r="F17" s="5"/>
    </row>
    <row r="18" spans="1:6" x14ac:dyDescent="0.25">
      <c r="A18" t="s">
        <v>17</v>
      </c>
      <c r="B18" s="21"/>
      <c r="C18" s="21"/>
      <c r="D18" s="21"/>
      <c r="E18" s="21"/>
      <c r="F18" s="21"/>
    </row>
    <row r="20" spans="1:6" ht="13" x14ac:dyDescent="0.3">
      <c r="A20" s="44" t="s">
        <v>4</v>
      </c>
    </row>
    <row r="21" spans="1:6" ht="13" thickBot="1" x14ac:dyDescent="0.3">
      <c r="B21" s="2" t="s">
        <v>53</v>
      </c>
      <c r="C21" s="2"/>
      <c r="D21" s="2" t="s">
        <v>16</v>
      </c>
    </row>
    <row r="22" spans="1:6" x14ac:dyDescent="0.25">
      <c r="A22" t="s">
        <v>5</v>
      </c>
      <c r="B22" s="21"/>
      <c r="C22" s="5"/>
      <c r="D22" s="12">
        <v>4000</v>
      </c>
    </row>
    <row r="23" spans="1:6" ht="13" thickBot="1" x14ac:dyDescent="0.3">
      <c r="A23" t="s">
        <v>6</v>
      </c>
      <c r="B23" s="21"/>
      <c r="C23" s="5"/>
      <c r="D23" s="13">
        <v>4500</v>
      </c>
    </row>
    <row r="25" spans="1:6" ht="13" x14ac:dyDescent="0.3">
      <c r="A25" s="44" t="s">
        <v>13</v>
      </c>
    </row>
    <row r="26" spans="1:6" x14ac:dyDescent="0.25">
      <c r="A26" t="s">
        <v>25</v>
      </c>
      <c r="B26" s="4"/>
    </row>
    <row r="27" spans="1:6" x14ac:dyDescent="0.25">
      <c r="A27" t="s">
        <v>24</v>
      </c>
      <c r="B27" s="4"/>
    </row>
    <row r="28" spans="1:6" ht="13" thickBot="1" x14ac:dyDescent="0.3">
      <c r="A28" t="s">
        <v>18</v>
      </c>
      <c r="B28" s="4"/>
    </row>
    <row r="29" spans="1:6" ht="14" thickTop="1" thickBot="1" x14ac:dyDescent="0.35">
      <c r="A29" s="22" t="s">
        <v>7</v>
      </c>
      <c r="B29" s="37"/>
      <c r="D29" s="23"/>
    </row>
    <row r="30" spans="1:6" ht="13" thickTop="1" x14ac:dyDescent="0.25"/>
    <row r="31" spans="1:6" ht="13" x14ac:dyDescent="0.3">
      <c r="A31" s="23"/>
    </row>
  </sheetData>
  <phoneticPr fontId="7" type="noConversion"/>
  <printOptions horizontalCentered="1" verticalCentered="1" headings="1" gridLines="1" gridLinesSet="0"/>
  <pageMargins left="0.75" right="0.75" top="1" bottom="1" header="0.5" footer="0.5"/>
  <pageSetup orientation="portrait" horizontalDpi="300" verticalDpi="3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J31"/>
  <sheetViews>
    <sheetView workbookViewId="0">
      <selection activeCell="E34" sqref="E34"/>
    </sheetView>
  </sheetViews>
  <sheetFormatPr defaultRowHeight="12.5" x14ac:dyDescent="0.25"/>
  <cols>
    <col min="1" max="1" width="30.08984375" customWidth="1"/>
    <col min="2" max="2" width="13.54296875" bestFit="1" customWidth="1"/>
    <col min="3" max="3" width="12" customWidth="1"/>
    <col min="4" max="4" width="11.453125" customWidth="1"/>
    <col min="9" max="9" width="17.453125" customWidth="1"/>
  </cols>
  <sheetData>
    <row r="1" spans="1:10" ht="13" x14ac:dyDescent="0.3">
      <c r="A1" s="35" t="s">
        <v>10</v>
      </c>
      <c r="B1" s="36"/>
    </row>
    <row r="3" spans="1:10" ht="13" x14ac:dyDescent="0.3">
      <c r="A3" s="44" t="s">
        <v>8</v>
      </c>
      <c r="I3" s="23"/>
    </row>
    <row r="4" spans="1:10" ht="13" thickBot="1" x14ac:dyDescent="0.3">
      <c r="B4" s="34" t="s">
        <v>0</v>
      </c>
      <c r="C4" s="34" t="s">
        <v>1</v>
      </c>
      <c r="D4" s="34" t="s">
        <v>2</v>
      </c>
      <c r="E4" s="34" t="s">
        <v>14</v>
      </c>
      <c r="F4" s="34" t="s">
        <v>15</v>
      </c>
      <c r="I4" s="24"/>
      <c r="J4" s="24"/>
    </row>
    <row r="5" spans="1:10" x14ac:dyDescent="0.25">
      <c r="A5" t="s">
        <v>20</v>
      </c>
      <c r="B5" s="6">
        <v>2</v>
      </c>
      <c r="C5" s="7">
        <v>1</v>
      </c>
      <c r="D5" s="7">
        <v>6</v>
      </c>
      <c r="E5" s="7">
        <v>4</v>
      </c>
      <c r="F5" s="8">
        <v>8</v>
      </c>
      <c r="I5" s="24"/>
      <c r="J5" s="24"/>
    </row>
    <row r="6" spans="1:10" ht="13" thickBot="1" x14ac:dyDescent="0.3">
      <c r="A6" t="s">
        <v>19</v>
      </c>
      <c r="B6" s="9">
        <v>3</v>
      </c>
      <c r="C6" s="10">
        <v>2.5</v>
      </c>
      <c r="D6" s="10">
        <v>4</v>
      </c>
      <c r="E6" s="10">
        <v>4.5</v>
      </c>
      <c r="F6" s="11">
        <v>5.5</v>
      </c>
      <c r="I6" s="24"/>
      <c r="J6" s="24"/>
    </row>
    <row r="7" spans="1:10" ht="13" thickBot="1" x14ac:dyDescent="0.3">
      <c r="B7" s="3"/>
      <c r="C7" s="3"/>
      <c r="D7" s="3"/>
      <c r="I7" s="24"/>
      <c r="J7" s="24"/>
    </row>
    <row r="8" spans="1:10" x14ac:dyDescent="0.25">
      <c r="A8" t="s">
        <v>21</v>
      </c>
      <c r="B8" s="14">
        <v>35</v>
      </c>
      <c r="C8" s="15">
        <v>40</v>
      </c>
      <c r="D8" s="15">
        <v>65</v>
      </c>
      <c r="E8" s="25">
        <v>70</v>
      </c>
      <c r="F8" s="26">
        <v>110</v>
      </c>
      <c r="I8" s="24"/>
      <c r="J8" s="24"/>
    </row>
    <row r="9" spans="1:10" x14ac:dyDescent="0.25">
      <c r="A9" t="s">
        <v>22</v>
      </c>
      <c r="B9" s="16">
        <v>20</v>
      </c>
      <c r="C9" s="17">
        <v>10</v>
      </c>
      <c r="D9" s="17">
        <v>25</v>
      </c>
      <c r="E9" s="27">
        <v>30</v>
      </c>
      <c r="F9" s="28">
        <v>35</v>
      </c>
      <c r="I9" s="24"/>
      <c r="J9" s="24"/>
    </row>
    <row r="10" spans="1:10" ht="13" thickBot="1" x14ac:dyDescent="0.3">
      <c r="A10" t="s">
        <v>9</v>
      </c>
      <c r="B10" s="18">
        <v>1500</v>
      </c>
      <c r="C10" s="19">
        <v>1200</v>
      </c>
      <c r="D10" s="19">
        <v>1600</v>
      </c>
      <c r="E10" s="19">
        <v>1500</v>
      </c>
      <c r="F10" s="20">
        <v>1600</v>
      </c>
    </row>
    <row r="11" spans="1:10" ht="13" x14ac:dyDescent="0.3">
      <c r="D11" s="1"/>
    </row>
    <row r="12" spans="1:10" ht="13" x14ac:dyDescent="0.3">
      <c r="A12" s="44" t="s">
        <v>12</v>
      </c>
      <c r="B12" s="45"/>
      <c r="D12" s="1"/>
    </row>
    <row r="13" spans="1:10" ht="13" thickBot="1" x14ac:dyDescent="0.3">
      <c r="B13" s="34" t="s">
        <v>0</v>
      </c>
      <c r="C13" s="34" t="s">
        <v>1</v>
      </c>
      <c r="D13" s="34" t="s">
        <v>2</v>
      </c>
      <c r="E13" s="34" t="s">
        <v>14</v>
      </c>
      <c r="F13" s="34" t="s">
        <v>15</v>
      </c>
      <c r="G13" s="2"/>
      <c r="I13" s="2"/>
    </row>
    <row r="14" spans="1:10" ht="13" thickBot="1" x14ac:dyDescent="0.3">
      <c r="A14" t="s">
        <v>23</v>
      </c>
      <c r="B14" s="40"/>
      <c r="C14" s="41"/>
      <c r="D14" s="41"/>
      <c r="E14" s="42"/>
      <c r="F14" s="43"/>
      <c r="H14" s="34"/>
    </row>
    <row r="15" spans="1:10" ht="13" thickBot="1" x14ac:dyDescent="0.3">
      <c r="B15" s="2"/>
      <c r="C15" s="2"/>
      <c r="D15" s="2"/>
    </row>
    <row r="16" spans="1:10" ht="13" thickBot="1" x14ac:dyDescent="0.3">
      <c r="A16" t="s">
        <v>3</v>
      </c>
      <c r="B16" s="30"/>
      <c r="C16" s="33"/>
      <c r="D16" s="31"/>
      <c r="E16" s="29"/>
      <c r="F16" s="32"/>
    </row>
    <row r="17" spans="1:6" x14ac:dyDescent="0.25">
      <c r="B17" s="5"/>
      <c r="C17" s="5"/>
      <c r="D17" s="5"/>
      <c r="E17" s="5"/>
      <c r="F17" s="5"/>
    </row>
    <row r="18" spans="1:6" x14ac:dyDescent="0.25">
      <c r="A18" t="s">
        <v>17</v>
      </c>
      <c r="B18" s="21"/>
      <c r="C18" s="21"/>
      <c r="D18" s="21"/>
      <c r="E18" s="21"/>
      <c r="F18" s="21"/>
    </row>
    <row r="20" spans="1:6" ht="13" x14ac:dyDescent="0.3">
      <c r="A20" s="44" t="s">
        <v>4</v>
      </c>
    </row>
    <row r="21" spans="1:6" ht="13" thickBot="1" x14ac:dyDescent="0.3">
      <c r="B21" s="2" t="s">
        <v>53</v>
      </c>
      <c r="C21" s="2"/>
      <c r="D21" s="2" t="s">
        <v>16</v>
      </c>
    </row>
    <row r="22" spans="1:6" x14ac:dyDescent="0.25">
      <c r="A22" t="s">
        <v>5</v>
      </c>
      <c r="B22" s="21"/>
      <c r="C22" s="5"/>
      <c r="D22" s="12">
        <v>4000</v>
      </c>
    </row>
    <row r="23" spans="1:6" ht="13" thickBot="1" x14ac:dyDescent="0.3">
      <c r="A23" t="s">
        <v>6</v>
      </c>
      <c r="B23" s="21"/>
      <c r="C23" s="5"/>
      <c r="D23" s="13">
        <v>4500</v>
      </c>
    </row>
    <row r="25" spans="1:6" ht="13" x14ac:dyDescent="0.3">
      <c r="A25" s="44" t="s">
        <v>13</v>
      </c>
    </row>
    <row r="26" spans="1:6" x14ac:dyDescent="0.25">
      <c r="A26" t="s">
        <v>25</v>
      </c>
      <c r="B26" s="4"/>
    </row>
    <row r="27" spans="1:6" x14ac:dyDescent="0.25">
      <c r="A27" t="s">
        <v>24</v>
      </c>
      <c r="B27" s="4"/>
    </row>
    <row r="28" spans="1:6" ht="13" thickBot="1" x14ac:dyDescent="0.3">
      <c r="A28" t="s">
        <v>18</v>
      </c>
      <c r="B28" s="4"/>
    </row>
    <row r="29" spans="1:6" ht="14" thickTop="1" thickBot="1" x14ac:dyDescent="0.35">
      <c r="A29" s="22" t="s">
        <v>7</v>
      </c>
      <c r="B29" s="37"/>
      <c r="D29" s="23"/>
    </row>
    <row r="30" spans="1:6" ht="13" thickTop="1" x14ac:dyDescent="0.25"/>
    <row r="31" spans="1:6" ht="13" x14ac:dyDescent="0.3">
      <c r="A31" s="23"/>
    </row>
  </sheetData>
  <phoneticPr fontId="5" type="noConversion"/>
  <printOptions horizontalCentered="1" verticalCentered="1" headings="1" gridLines="1" gridLinesSet="0"/>
  <pageMargins left="0.75" right="0.75" top="1" bottom="1" header="0.5" footer="0.5"/>
  <pageSetup orientation="portrait" horizontalDpi="300" vertic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1"/>
  <sheetViews>
    <sheetView tabSelected="1" topLeftCell="A7" workbookViewId="0">
      <selection activeCell="H63" sqref="H63"/>
    </sheetView>
  </sheetViews>
  <sheetFormatPr defaultRowHeight="12.5" x14ac:dyDescent="0.25"/>
  <cols>
    <col min="1" max="1" width="30.08984375" customWidth="1"/>
    <col min="2" max="2" width="13.54296875" bestFit="1" customWidth="1"/>
    <col min="3" max="3" width="12" customWidth="1"/>
    <col min="4" max="4" width="11.453125" customWidth="1"/>
    <col min="8" max="8" width="29.90625" bestFit="1" customWidth="1"/>
    <col min="9" max="9" width="20.54296875" bestFit="1" customWidth="1"/>
  </cols>
  <sheetData>
    <row r="1" spans="1:9" ht="13" x14ac:dyDescent="0.3">
      <c r="A1" s="49" t="s">
        <v>10</v>
      </c>
      <c r="B1" s="49"/>
      <c r="H1" s="48" t="s">
        <v>52</v>
      </c>
      <c r="I1" s="48"/>
    </row>
    <row r="2" spans="1:9" x14ac:dyDescent="0.25">
      <c r="H2" s="24" t="s">
        <v>16</v>
      </c>
      <c r="I2" s="24" t="s">
        <v>26</v>
      </c>
    </row>
    <row r="3" spans="1:9" ht="13" x14ac:dyDescent="0.3">
      <c r="A3" s="44" t="s">
        <v>8</v>
      </c>
      <c r="H3" s="24" t="s">
        <v>6</v>
      </c>
      <c r="I3" s="24" t="s">
        <v>27</v>
      </c>
    </row>
    <row r="4" spans="1:9" ht="13" thickBot="1" x14ac:dyDescent="0.3">
      <c r="B4" s="34" t="s">
        <v>0</v>
      </c>
      <c r="C4" s="34" t="s">
        <v>1</v>
      </c>
      <c r="D4" s="34" t="s">
        <v>2</v>
      </c>
      <c r="E4" s="34" t="s">
        <v>14</v>
      </c>
      <c r="F4" s="34" t="s">
        <v>15</v>
      </c>
      <c r="H4" s="24" t="s">
        <v>28</v>
      </c>
      <c r="I4" s="24" t="s">
        <v>29</v>
      </c>
    </row>
    <row r="5" spans="1:9" x14ac:dyDescent="0.25">
      <c r="A5" t="s">
        <v>20</v>
      </c>
      <c r="B5" s="6">
        <v>2</v>
      </c>
      <c r="C5" s="7">
        <v>1</v>
      </c>
      <c r="D5" s="7">
        <v>6</v>
      </c>
      <c r="E5" s="7">
        <v>4</v>
      </c>
      <c r="F5" s="8">
        <v>8</v>
      </c>
      <c r="H5" s="24" t="s">
        <v>30</v>
      </c>
      <c r="I5" s="24" t="s">
        <v>31</v>
      </c>
    </row>
    <row r="6" spans="1:9" ht="13" thickBot="1" x14ac:dyDescent="0.3">
      <c r="A6" t="s">
        <v>19</v>
      </c>
      <c r="B6" s="9">
        <v>3</v>
      </c>
      <c r="C6" s="10">
        <v>2.5</v>
      </c>
      <c r="D6" s="10">
        <v>4</v>
      </c>
      <c r="E6" s="10">
        <v>4.5</v>
      </c>
      <c r="F6" s="11">
        <v>5.5</v>
      </c>
      <c r="H6" s="24" t="s">
        <v>32</v>
      </c>
      <c r="I6" s="24" t="s">
        <v>33</v>
      </c>
    </row>
    <row r="7" spans="1:9" ht="13" thickBot="1" x14ac:dyDescent="0.3">
      <c r="B7" s="3"/>
      <c r="C7" s="3"/>
      <c r="D7" s="3"/>
      <c r="H7" s="24" t="s">
        <v>34</v>
      </c>
      <c r="I7" s="24" t="s">
        <v>35</v>
      </c>
    </row>
    <row r="8" spans="1:9" x14ac:dyDescent="0.25">
      <c r="A8" t="s">
        <v>21</v>
      </c>
      <c r="B8" s="14">
        <v>35</v>
      </c>
      <c r="C8" s="15">
        <v>40</v>
      </c>
      <c r="D8" s="15">
        <v>65</v>
      </c>
      <c r="E8" s="25">
        <v>70</v>
      </c>
      <c r="F8" s="26">
        <v>110</v>
      </c>
      <c r="H8" s="24" t="s">
        <v>7</v>
      </c>
      <c r="I8" s="24" t="s">
        <v>36</v>
      </c>
    </row>
    <row r="9" spans="1:9" x14ac:dyDescent="0.25">
      <c r="A9" t="s">
        <v>22</v>
      </c>
      <c r="B9" s="16">
        <v>20</v>
      </c>
      <c r="C9" s="17">
        <v>10</v>
      </c>
      <c r="D9" s="17">
        <v>25</v>
      </c>
      <c r="E9" s="27">
        <v>30</v>
      </c>
      <c r="F9" s="28">
        <v>35</v>
      </c>
      <c r="H9" s="24" t="s">
        <v>37</v>
      </c>
      <c r="I9" s="24" t="s">
        <v>38</v>
      </c>
    </row>
    <row r="10" spans="1:9" ht="13" thickBot="1" x14ac:dyDescent="0.3">
      <c r="A10" t="s">
        <v>9</v>
      </c>
      <c r="B10" s="18">
        <v>1500</v>
      </c>
      <c r="C10" s="19">
        <v>1200</v>
      </c>
      <c r="D10" s="19">
        <v>1600</v>
      </c>
      <c r="E10" s="19">
        <v>1500</v>
      </c>
      <c r="F10" s="20">
        <v>1600</v>
      </c>
      <c r="H10" s="24" t="s">
        <v>39</v>
      </c>
      <c r="I10" s="24" t="s">
        <v>40</v>
      </c>
    </row>
    <row r="11" spans="1:9" ht="13" x14ac:dyDescent="0.3">
      <c r="D11" s="1"/>
      <c r="H11" s="38" t="s">
        <v>41</v>
      </c>
      <c r="I11" s="24" t="s">
        <v>42</v>
      </c>
    </row>
    <row r="12" spans="1:9" ht="13" x14ac:dyDescent="0.3">
      <c r="A12" s="44" t="s">
        <v>12</v>
      </c>
      <c r="B12" s="45"/>
      <c r="D12" s="1"/>
      <c r="H12" s="24" t="s">
        <v>43</v>
      </c>
      <c r="I12" s="24" t="s">
        <v>44</v>
      </c>
    </row>
    <row r="13" spans="1:9" ht="13" thickBot="1" x14ac:dyDescent="0.3">
      <c r="B13" s="34" t="s">
        <v>0</v>
      </c>
      <c r="C13" s="34" t="s">
        <v>1</v>
      </c>
      <c r="D13" s="34" t="s">
        <v>2</v>
      </c>
      <c r="E13" s="34" t="s">
        <v>14</v>
      </c>
      <c r="F13" s="34" t="s">
        <v>15</v>
      </c>
      <c r="G13" s="2"/>
      <c r="H13" s="24" t="s">
        <v>45</v>
      </c>
      <c r="I13" s="24" t="s">
        <v>46</v>
      </c>
    </row>
    <row r="14" spans="1:9" ht="13" thickBot="1" x14ac:dyDescent="0.3">
      <c r="A14" t="s">
        <v>23</v>
      </c>
      <c r="B14" s="40">
        <v>1</v>
      </c>
      <c r="C14" s="41">
        <v>0</v>
      </c>
      <c r="D14" s="41">
        <v>1</v>
      </c>
      <c r="E14" s="42">
        <v>0</v>
      </c>
      <c r="F14" s="43">
        <v>1</v>
      </c>
      <c r="H14" s="24" t="s">
        <v>47</v>
      </c>
      <c r="I14" s="24" t="s">
        <v>48</v>
      </c>
    </row>
    <row r="15" spans="1:9" ht="13" thickBot="1" x14ac:dyDescent="0.3">
      <c r="B15" s="2"/>
      <c r="C15" s="2"/>
      <c r="D15" s="2"/>
      <c r="H15" s="24" t="s">
        <v>50</v>
      </c>
      <c r="I15" s="24" t="s">
        <v>51</v>
      </c>
    </row>
    <row r="16" spans="1:9" ht="13" thickBot="1" x14ac:dyDescent="0.3">
      <c r="A16" t="s">
        <v>3</v>
      </c>
      <c r="B16" s="46">
        <v>0</v>
      </c>
      <c r="C16" s="33">
        <v>200</v>
      </c>
      <c r="D16" s="33">
        <v>0</v>
      </c>
      <c r="E16" s="47">
        <v>0</v>
      </c>
      <c r="F16" s="32">
        <v>500</v>
      </c>
    </row>
    <row r="17" spans="1:6" x14ac:dyDescent="0.25">
      <c r="B17" s="34" t="s">
        <v>49</v>
      </c>
      <c r="C17" s="34" t="s">
        <v>49</v>
      </c>
      <c r="D17" s="34" t="s">
        <v>49</v>
      </c>
      <c r="E17" s="34" t="s">
        <v>49</v>
      </c>
      <c r="F17" s="34" t="s">
        <v>49</v>
      </c>
    </row>
    <row r="18" spans="1:6" x14ac:dyDescent="0.25">
      <c r="A18" t="s">
        <v>17</v>
      </c>
      <c r="B18" s="21">
        <f xml:space="preserve"> MIN($D22/B5, $D23/B6) * B14</f>
        <v>1500</v>
      </c>
      <c r="C18" s="21">
        <f xml:space="preserve"> MIN($D22/C5, $D23/C6) * C14</f>
        <v>0</v>
      </c>
      <c r="D18" s="21">
        <f xml:space="preserve"> MIN($D22/D5, $D23/D6) * D14</f>
        <v>666.66666666666663</v>
      </c>
      <c r="E18" s="21">
        <f xml:space="preserve"> MIN($D22/E5, $D23/E6) * E14</f>
        <v>0</v>
      </c>
      <c r="F18" s="21">
        <f xml:space="preserve"> MIN($D22/F5, $D23/F6) * F14</f>
        <v>500</v>
      </c>
    </row>
    <row r="20" spans="1:6" ht="13" x14ac:dyDescent="0.3">
      <c r="A20" s="44" t="s">
        <v>4</v>
      </c>
    </row>
    <row r="21" spans="1:6" ht="13" thickBot="1" x14ac:dyDescent="0.3">
      <c r="B21" s="2" t="s">
        <v>11</v>
      </c>
      <c r="C21" s="2"/>
      <c r="D21" s="2" t="s">
        <v>16</v>
      </c>
    </row>
    <row r="22" spans="1:6" x14ac:dyDescent="0.25">
      <c r="A22" t="s">
        <v>5</v>
      </c>
      <c r="B22" s="21">
        <f xml:space="preserve"> SUMPRODUCT(Labor_hours, Units_produced)</f>
        <v>4200</v>
      </c>
      <c r="C22" s="34" t="s">
        <v>49</v>
      </c>
      <c r="D22" s="12">
        <v>4000</v>
      </c>
    </row>
    <row r="23" spans="1:6" ht="13" thickBot="1" x14ac:dyDescent="0.3">
      <c r="A23" t="s">
        <v>6</v>
      </c>
      <c r="B23" s="21">
        <f xml:space="preserve"> SUMPRODUCT(Cloth, Units_produced)</f>
        <v>3250</v>
      </c>
      <c r="C23" s="34" t="s">
        <v>49</v>
      </c>
      <c r="D23" s="13">
        <v>4500</v>
      </c>
    </row>
    <row r="25" spans="1:6" ht="13" x14ac:dyDescent="0.3">
      <c r="A25" s="44" t="s">
        <v>13</v>
      </c>
    </row>
    <row r="26" spans="1:6" x14ac:dyDescent="0.25">
      <c r="A26" t="s">
        <v>25</v>
      </c>
      <c r="B26" s="4">
        <f>SUMPRODUCT(Selling_price, Units_produced)</f>
        <v>63000</v>
      </c>
    </row>
    <row r="27" spans="1:6" x14ac:dyDescent="0.25">
      <c r="A27" t="s">
        <v>24</v>
      </c>
      <c r="B27" s="4">
        <f>SUMPRODUCT(Variable_cost, Units_produced)</f>
        <v>19500</v>
      </c>
    </row>
    <row r="28" spans="1:6" ht="13" thickBot="1" x14ac:dyDescent="0.3">
      <c r="A28" t="s">
        <v>18</v>
      </c>
      <c r="B28" s="4">
        <f>SUMPRODUCT(Produce_any?, Fixed_cost_for_equipment)</f>
        <v>4700</v>
      </c>
    </row>
    <row r="29" spans="1:6" ht="14" thickTop="1" thickBot="1" x14ac:dyDescent="0.35">
      <c r="A29" s="39" t="s">
        <v>7</v>
      </c>
      <c r="B29" s="37">
        <f xml:space="preserve"> Revenue - Total_variable_cost - Total_fixed_cost_for_equipment</f>
        <v>38800</v>
      </c>
      <c r="D29" s="1"/>
    </row>
    <row r="30" spans="1:6" ht="13" thickTop="1" x14ac:dyDescent="0.25"/>
    <row r="31" spans="1:6" ht="13" x14ac:dyDescent="0.3">
      <c r="A31" s="1"/>
    </row>
  </sheetData>
  <mergeCells count="2">
    <mergeCell ref="H1:I1"/>
    <mergeCell ref="A1:B1"/>
  </mergeCells>
  <phoneticPr fontId="7" type="noConversion"/>
  <printOptions horizontalCentered="1" verticalCentered="1" headings="1" gridLines="1" gridLinesSet="0"/>
  <pageMargins left="0.75" right="0.75" top="1" bottom="1" header="0.5" footer="0.5"/>
  <pageSetup scale="72" orientation="landscape" horizontalDpi="300" verticalDpi="3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31"/>
  <sheetViews>
    <sheetView workbookViewId="0">
      <selection activeCell="A3" sqref="A3:F29"/>
    </sheetView>
  </sheetViews>
  <sheetFormatPr defaultRowHeight="12.5" x14ac:dyDescent="0.25"/>
  <cols>
    <col min="1" max="1" width="30.08984375" customWidth="1"/>
    <col min="2" max="2" width="13.54296875" bestFit="1" customWidth="1"/>
    <col min="3" max="3" width="12" customWidth="1"/>
    <col min="4" max="4" width="11.453125" customWidth="1"/>
    <col min="8" max="8" width="29.90625" bestFit="1" customWidth="1"/>
    <col min="9" max="9" width="20.54296875" bestFit="1" customWidth="1"/>
  </cols>
  <sheetData>
    <row r="1" spans="1:9" ht="13" x14ac:dyDescent="0.3">
      <c r="A1" s="49" t="s">
        <v>10</v>
      </c>
      <c r="B1" s="49"/>
      <c r="H1" s="48" t="s">
        <v>52</v>
      </c>
      <c r="I1" s="48"/>
    </row>
    <row r="2" spans="1:9" x14ac:dyDescent="0.25">
      <c r="H2" s="24" t="s">
        <v>16</v>
      </c>
      <c r="I2" s="24" t="s">
        <v>26</v>
      </c>
    </row>
    <row r="3" spans="1:9" ht="13" x14ac:dyDescent="0.3">
      <c r="A3" s="44" t="s">
        <v>8</v>
      </c>
      <c r="H3" s="24" t="s">
        <v>6</v>
      </c>
      <c r="I3" s="24" t="s">
        <v>27</v>
      </c>
    </row>
    <row r="4" spans="1:9" ht="13" thickBot="1" x14ac:dyDescent="0.3">
      <c r="B4" s="34" t="s">
        <v>0</v>
      </c>
      <c r="C4" s="34" t="s">
        <v>1</v>
      </c>
      <c r="D4" s="34" t="s">
        <v>2</v>
      </c>
      <c r="E4" s="34" t="s">
        <v>14</v>
      </c>
      <c r="F4" s="34" t="s">
        <v>15</v>
      </c>
      <c r="H4" s="24" t="s">
        <v>28</v>
      </c>
      <c r="I4" s="24" t="s">
        <v>29</v>
      </c>
    </row>
    <row r="5" spans="1:9" x14ac:dyDescent="0.25">
      <c r="A5" t="s">
        <v>20</v>
      </c>
      <c r="B5" s="6">
        <v>2</v>
      </c>
      <c r="C5" s="7">
        <v>1</v>
      </c>
      <c r="D5" s="7">
        <v>6</v>
      </c>
      <c r="E5" s="7">
        <v>4</v>
      </c>
      <c r="F5" s="8">
        <v>8</v>
      </c>
      <c r="H5" s="24" t="s">
        <v>30</v>
      </c>
      <c r="I5" s="24" t="s">
        <v>31</v>
      </c>
    </row>
    <row r="6" spans="1:9" ht="13" thickBot="1" x14ac:dyDescent="0.3">
      <c r="A6" t="s">
        <v>19</v>
      </c>
      <c r="B6" s="9">
        <v>3</v>
      </c>
      <c r="C6" s="10">
        <v>2.5</v>
      </c>
      <c r="D6" s="10">
        <v>4</v>
      </c>
      <c r="E6" s="10">
        <v>4.5</v>
      </c>
      <c r="F6" s="11">
        <v>5.5</v>
      </c>
      <c r="H6" s="24" t="s">
        <v>32</v>
      </c>
      <c r="I6" s="24" t="s">
        <v>33</v>
      </c>
    </row>
    <row r="7" spans="1:9" ht="13" thickBot="1" x14ac:dyDescent="0.3">
      <c r="B7" s="3"/>
      <c r="C7" s="3"/>
      <c r="D7" s="3"/>
      <c r="H7" s="24" t="s">
        <v>34</v>
      </c>
      <c r="I7" s="24" t="s">
        <v>35</v>
      </c>
    </row>
    <row r="8" spans="1:9" x14ac:dyDescent="0.25">
      <c r="A8" t="s">
        <v>21</v>
      </c>
      <c r="B8" s="14">
        <v>35</v>
      </c>
      <c r="C8" s="15">
        <v>40</v>
      </c>
      <c r="D8" s="15">
        <v>65</v>
      </c>
      <c r="E8" s="25">
        <v>70</v>
      </c>
      <c r="F8" s="26">
        <v>110</v>
      </c>
      <c r="H8" s="24" t="s">
        <v>7</v>
      </c>
      <c r="I8" s="24" t="s">
        <v>36</v>
      </c>
    </row>
    <row r="9" spans="1:9" x14ac:dyDescent="0.25">
      <c r="A9" t="s">
        <v>22</v>
      </c>
      <c r="B9" s="16">
        <v>20</v>
      </c>
      <c r="C9" s="17">
        <v>10</v>
      </c>
      <c r="D9" s="17">
        <v>25</v>
      </c>
      <c r="E9" s="27">
        <v>30</v>
      </c>
      <c r="F9" s="28">
        <v>35</v>
      </c>
      <c r="H9" s="24" t="s">
        <v>37</v>
      </c>
      <c r="I9" s="24" t="s">
        <v>38</v>
      </c>
    </row>
    <row r="10" spans="1:9" ht="13" thickBot="1" x14ac:dyDescent="0.3">
      <c r="A10" t="s">
        <v>9</v>
      </c>
      <c r="B10" s="18">
        <v>1500</v>
      </c>
      <c r="C10" s="19">
        <v>1200</v>
      </c>
      <c r="D10" s="19">
        <v>1600</v>
      </c>
      <c r="E10" s="19">
        <v>1500</v>
      </c>
      <c r="F10" s="20">
        <v>1600</v>
      </c>
      <c r="H10" s="24" t="s">
        <v>39</v>
      </c>
      <c r="I10" s="24" t="s">
        <v>40</v>
      </c>
    </row>
    <row r="11" spans="1:9" ht="13" x14ac:dyDescent="0.3">
      <c r="D11" s="1"/>
      <c r="H11" s="38" t="s">
        <v>41</v>
      </c>
      <c r="I11" s="24" t="s">
        <v>42</v>
      </c>
    </row>
    <row r="12" spans="1:9" ht="13" x14ac:dyDescent="0.3">
      <c r="A12" s="44" t="s">
        <v>12</v>
      </c>
      <c r="B12" s="45"/>
      <c r="D12" s="1"/>
      <c r="H12" s="24" t="s">
        <v>43</v>
      </c>
      <c r="I12" s="24" t="s">
        <v>44</v>
      </c>
    </row>
    <row r="13" spans="1:9" ht="13" thickBot="1" x14ac:dyDescent="0.3">
      <c r="B13" s="34" t="s">
        <v>0</v>
      </c>
      <c r="C13" s="34" t="s">
        <v>1</v>
      </c>
      <c r="D13" s="34" t="s">
        <v>2</v>
      </c>
      <c r="E13" s="34" t="s">
        <v>14</v>
      </c>
      <c r="F13" s="34" t="s">
        <v>15</v>
      </c>
      <c r="G13" s="2"/>
      <c r="H13" s="24" t="s">
        <v>45</v>
      </c>
      <c r="I13" s="24" t="s">
        <v>46</v>
      </c>
    </row>
    <row r="14" spans="1:9" ht="13" thickBot="1" x14ac:dyDescent="0.3">
      <c r="A14" t="s">
        <v>23</v>
      </c>
      <c r="B14" s="40">
        <v>0</v>
      </c>
      <c r="C14" s="41">
        <v>1</v>
      </c>
      <c r="D14" s="41">
        <v>0</v>
      </c>
      <c r="E14" s="42">
        <v>0</v>
      </c>
      <c r="F14" s="43">
        <v>1</v>
      </c>
      <c r="H14" s="24" t="s">
        <v>47</v>
      </c>
      <c r="I14" s="24" t="s">
        <v>48</v>
      </c>
    </row>
    <row r="15" spans="1:9" ht="13" thickBot="1" x14ac:dyDescent="0.3">
      <c r="B15" s="2"/>
      <c r="C15" s="2"/>
      <c r="D15" s="2"/>
      <c r="H15" s="24" t="s">
        <v>50</v>
      </c>
      <c r="I15" s="24" t="s">
        <v>51</v>
      </c>
    </row>
    <row r="16" spans="1:9" ht="13" thickBot="1" x14ac:dyDescent="0.3">
      <c r="A16" t="s">
        <v>3</v>
      </c>
      <c r="B16" s="46">
        <v>0</v>
      </c>
      <c r="C16" s="50">
        <v>965.51724137931035</v>
      </c>
      <c r="D16" s="33">
        <v>0</v>
      </c>
      <c r="E16" s="47">
        <v>0</v>
      </c>
      <c r="F16" s="51">
        <v>379.31034482758622</v>
      </c>
    </row>
    <row r="17" spans="1:6" x14ac:dyDescent="0.25">
      <c r="B17" s="34" t="s">
        <v>49</v>
      </c>
      <c r="C17" s="34" t="s">
        <v>49</v>
      </c>
      <c r="D17" s="34" t="s">
        <v>49</v>
      </c>
      <c r="E17" s="34" t="s">
        <v>49</v>
      </c>
      <c r="F17" s="34" t="s">
        <v>49</v>
      </c>
    </row>
    <row r="18" spans="1:6" x14ac:dyDescent="0.25">
      <c r="A18" t="s">
        <v>17</v>
      </c>
      <c r="B18" s="21">
        <f xml:space="preserve"> MIN($D22/B5, $D23/B6) * B14</f>
        <v>0</v>
      </c>
      <c r="C18" s="21">
        <f xml:space="preserve"> MIN($D22/C5, $D23/C6) * C14</f>
        <v>1800</v>
      </c>
      <c r="D18" s="21">
        <f xml:space="preserve"> MIN($D22/D5, $D23/D6) * D14</f>
        <v>0</v>
      </c>
      <c r="E18" s="21">
        <f xml:space="preserve"> MIN($D22/E5, $D23/E6) * E14</f>
        <v>0</v>
      </c>
      <c r="F18" s="21">
        <f xml:space="preserve"> MIN($D22/F5, $D23/F6) * F14</f>
        <v>500</v>
      </c>
    </row>
    <row r="20" spans="1:6" ht="13" x14ac:dyDescent="0.3">
      <c r="A20" s="44" t="s">
        <v>4</v>
      </c>
    </row>
    <row r="21" spans="1:6" ht="13" thickBot="1" x14ac:dyDescent="0.3">
      <c r="B21" s="2" t="s">
        <v>11</v>
      </c>
      <c r="C21" s="2"/>
      <c r="D21" s="2" t="s">
        <v>16</v>
      </c>
    </row>
    <row r="22" spans="1:6" x14ac:dyDescent="0.25">
      <c r="A22" t="s">
        <v>5</v>
      </c>
      <c r="B22" s="52">
        <f xml:space="preserve"> SUMPRODUCT(Labor_hours, Units_produced)</f>
        <v>4000</v>
      </c>
      <c r="C22" s="34" t="s">
        <v>49</v>
      </c>
      <c r="D22" s="12">
        <v>4000</v>
      </c>
    </row>
    <row r="23" spans="1:6" ht="13" thickBot="1" x14ac:dyDescent="0.3">
      <c r="A23" t="s">
        <v>6</v>
      </c>
      <c r="B23" s="52">
        <f xml:space="preserve"> SUMPRODUCT(Cloth, Units_produced)</f>
        <v>4500</v>
      </c>
      <c r="C23" s="34" t="s">
        <v>49</v>
      </c>
      <c r="D23" s="13">
        <v>4500</v>
      </c>
    </row>
    <row r="25" spans="1:6" ht="13" x14ac:dyDescent="0.3">
      <c r="A25" s="44" t="s">
        <v>13</v>
      </c>
    </row>
    <row r="26" spans="1:6" x14ac:dyDescent="0.25">
      <c r="A26" t="s">
        <v>25</v>
      </c>
      <c r="B26" s="4">
        <f>SUMPRODUCT(Selling_price, Units_produced)</f>
        <v>80344.827586206899</v>
      </c>
    </row>
    <row r="27" spans="1:6" x14ac:dyDescent="0.25">
      <c r="A27" t="s">
        <v>24</v>
      </c>
      <c r="B27" s="4">
        <f>SUMPRODUCT(Variable_cost, Units_produced)</f>
        <v>22931.034482758623</v>
      </c>
    </row>
    <row r="28" spans="1:6" ht="13" thickBot="1" x14ac:dyDescent="0.3">
      <c r="A28" t="s">
        <v>18</v>
      </c>
      <c r="B28" s="4">
        <f>SUMPRODUCT(Produce_any?, Fixed_cost_for_equipment)</f>
        <v>2800</v>
      </c>
    </row>
    <row r="29" spans="1:6" ht="14" thickTop="1" thickBot="1" x14ac:dyDescent="0.35">
      <c r="A29" s="39" t="s">
        <v>7</v>
      </c>
      <c r="B29" s="37">
        <f xml:space="preserve"> Revenue - Total_variable_cost - Total_fixed_cost_for_equipment</f>
        <v>54613.793103448275</v>
      </c>
      <c r="D29" s="1"/>
    </row>
    <row r="30" spans="1:6" ht="13" thickTop="1" x14ac:dyDescent="0.25"/>
    <row r="31" spans="1:6" ht="13" x14ac:dyDescent="0.3">
      <c r="A31" s="1"/>
    </row>
  </sheetData>
  <mergeCells count="2">
    <mergeCell ref="A1:B1"/>
    <mergeCell ref="H1:I1"/>
  </mergeCells>
  <phoneticPr fontId="7" type="noConversion"/>
  <printOptions horizontalCentered="1" verticalCentered="1" headings="1" gridLines="1" gridLinesSet="0"/>
  <pageMargins left="0.75" right="0.75" top="1" bottom="1" header="0.5" footer="0.5"/>
  <pageSetup scale="72" orientation="landscape" horizontalDpi="300" verticalDpi="300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31"/>
  <sheetViews>
    <sheetView topLeftCell="A7" workbookViewId="0">
      <selection activeCell="H43" sqref="H43"/>
    </sheetView>
  </sheetViews>
  <sheetFormatPr defaultRowHeight="12.5" x14ac:dyDescent="0.25"/>
  <cols>
    <col min="1" max="1" width="30.08984375" customWidth="1"/>
    <col min="2" max="2" width="13.54296875" bestFit="1" customWidth="1"/>
    <col min="3" max="3" width="12" customWidth="1"/>
    <col min="4" max="4" width="11.453125" customWidth="1"/>
    <col min="8" max="8" width="29.90625" bestFit="1" customWidth="1"/>
    <col min="9" max="9" width="20.54296875" bestFit="1" customWidth="1"/>
  </cols>
  <sheetData>
    <row r="1" spans="1:9" ht="13" x14ac:dyDescent="0.3">
      <c r="A1" s="49" t="s">
        <v>10</v>
      </c>
      <c r="B1" s="49"/>
      <c r="H1" s="48" t="s">
        <v>52</v>
      </c>
      <c r="I1" s="48"/>
    </row>
    <row r="2" spans="1:9" x14ac:dyDescent="0.25">
      <c r="H2" s="24" t="s">
        <v>16</v>
      </c>
      <c r="I2" s="24" t="s">
        <v>26</v>
      </c>
    </row>
    <row r="3" spans="1:9" ht="13" x14ac:dyDescent="0.3">
      <c r="A3" s="44" t="s">
        <v>8</v>
      </c>
      <c r="H3" s="24" t="s">
        <v>6</v>
      </c>
      <c r="I3" s="24" t="s">
        <v>27</v>
      </c>
    </row>
    <row r="4" spans="1:9" ht="13" thickBot="1" x14ac:dyDescent="0.3">
      <c r="B4" s="34" t="s">
        <v>0</v>
      </c>
      <c r="C4" s="34" t="s">
        <v>1</v>
      </c>
      <c r="D4" s="34" t="s">
        <v>2</v>
      </c>
      <c r="E4" s="34" t="s">
        <v>14</v>
      </c>
      <c r="F4" s="34" t="s">
        <v>15</v>
      </c>
      <c r="H4" s="24" t="s">
        <v>28</v>
      </c>
      <c r="I4" s="24" t="s">
        <v>29</v>
      </c>
    </row>
    <row r="5" spans="1:9" x14ac:dyDescent="0.25">
      <c r="A5" t="s">
        <v>54</v>
      </c>
      <c r="B5" s="6">
        <v>2</v>
      </c>
      <c r="C5" s="7">
        <v>1</v>
      </c>
      <c r="D5" s="7">
        <v>6</v>
      </c>
      <c r="E5" s="7">
        <v>4</v>
      </c>
      <c r="F5" s="8">
        <v>8</v>
      </c>
      <c r="H5" s="24" t="s">
        <v>30</v>
      </c>
      <c r="I5" s="24" t="s">
        <v>31</v>
      </c>
    </row>
    <row r="6" spans="1:9" ht="13" thickBot="1" x14ac:dyDescent="0.3">
      <c r="A6" t="s">
        <v>55</v>
      </c>
      <c r="B6" s="9">
        <v>3</v>
      </c>
      <c r="C6" s="10">
        <v>2.5</v>
      </c>
      <c r="D6" s="10">
        <v>4</v>
      </c>
      <c r="E6" s="10">
        <v>4.5</v>
      </c>
      <c r="F6" s="11">
        <v>5.5</v>
      </c>
      <c r="H6" s="24" t="s">
        <v>32</v>
      </c>
      <c r="I6" s="24" t="s">
        <v>33</v>
      </c>
    </row>
    <row r="7" spans="1:9" ht="13" thickBot="1" x14ac:dyDescent="0.3">
      <c r="B7" s="3"/>
      <c r="C7" s="3"/>
      <c r="D7" s="3"/>
      <c r="H7" s="24" t="s">
        <v>34</v>
      </c>
      <c r="I7" s="24" t="s">
        <v>35</v>
      </c>
    </row>
    <row r="8" spans="1:9" x14ac:dyDescent="0.25">
      <c r="A8" t="s">
        <v>56</v>
      </c>
      <c r="B8" s="14">
        <v>35</v>
      </c>
      <c r="C8" s="15">
        <v>40</v>
      </c>
      <c r="D8" s="15">
        <v>65</v>
      </c>
      <c r="E8" s="25">
        <v>70</v>
      </c>
      <c r="F8" s="26">
        <v>110</v>
      </c>
      <c r="H8" s="24" t="s">
        <v>7</v>
      </c>
      <c r="I8" s="24" t="s">
        <v>36</v>
      </c>
    </row>
    <row r="9" spans="1:9" x14ac:dyDescent="0.25">
      <c r="A9" t="s">
        <v>57</v>
      </c>
      <c r="B9" s="16">
        <v>20</v>
      </c>
      <c r="C9" s="17">
        <v>10</v>
      </c>
      <c r="D9" s="17">
        <v>25</v>
      </c>
      <c r="E9" s="27">
        <v>30</v>
      </c>
      <c r="F9" s="28">
        <v>35</v>
      </c>
      <c r="H9" s="24" t="s">
        <v>37</v>
      </c>
      <c r="I9" s="24" t="s">
        <v>38</v>
      </c>
    </row>
    <row r="10" spans="1:9" ht="13" thickBot="1" x14ac:dyDescent="0.3">
      <c r="A10" t="s">
        <v>9</v>
      </c>
      <c r="B10" s="18">
        <v>1500</v>
      </c>
      <c r="C10" s="19">
        <v>1200</v>
      </c>
      <c r="D10" s="19">
        <v>1600</v>
      </c>
      <c r="E10" s="19">
        <v>1500</v>
      </c>
      <c r="F10" s="20">
        <v>1600</v>
      </c>
      <c r="H10" s="24" t="s">
        <v>39</v>
      </c>
      <c r="I10" s="24" t="s">
        <v>40</v>
      </c>
    </row>
    <row r="11" spans="1:9" ht="13" x14ac:dyDescent="0.3">
      <c r="D11" s="1"/>
      <c r="H11" s="38" t="s">
        <v>41</v>
      </c>
      <c r="I11" s="24" t="s">
        <v>42</v>
      </c>
    </row>
    <row r="12" spans="1:9" ht="13" x14ac:dyDescent="0.3">
      <c r="A12" s="44" t="s">
        <v>12</v>
      </c>
      <c r="B12" s="45"/>
      <c r="D12" s="1"/>
      <c r="H12" s="24" t="s">
        <v>43</v>
      </c>
      <c r="I12" s="24" t="s">
        <v>44</v>
      </c>
    </row>
    <row r="13" spans="1:9" ht="13" thickBot="1" x14ac:dyDescent="0.3">
      <c r="B13" s="34" t="s">
        <v>0</v>
      </c>
      <c r="C13" s="34" t="s">
        <v>1</v>
      </c>
      <c r="D13" s="34" t="s">
        <v>2</v>
      </c>
      <c r="E13" s="34" t="s">
        <v>14</v>
      </c>
      <c r="F13" s="34" t="s">
        <v>15</v>
      </c>
      <c r="G13" s="2"/>
      <c r="H13" s="24" t="s">
        <v>45</v>
      </c>
      <c r="I13" s="24" t="s">
        <v>46</v>
      </c>
    </row>
    <row r="14" spans="1:9" ht="13" thickBot="1" x14ac:dyDescent="0.3">
      <c r="A14" t="s">
        <v>58</v>
      </c>
      <c r="B14" s="40">
        <v>1</v>
      </c>
      <c r="C14" s="41">
        <v>0</v>
      </c>
      <c r="D14" s="41">
        <v>1</v>
      </c>
      <c r="E14" s="42">
        <v>0</v>
      </c>
      <c r="F14" s="43">
        <v>1</v>
      </c>
      <c r="H14" s="24" t="s">
        <v>47</v>
      </c>
      <c r="I14" s="24" t="s">
        <v>48</v>
      </c>
    </row>
    <row r="15" spans="1:9" ht="13" thickBot="1" x14ac:dyDescent="0.3">
      <c r="B15" s="2"/>
      <c r="C15" s="2"/>
      <c r="D15" s="2"/>
      <c r="H15" s="24" t="s">
        <v>50</v>
      </c>
      <c r="I15" s="24" t="s">
        <v>51</v>
      </c>
    </row>
    <row r="16" spans="1:9" ht="13" thickBot="1" x14ac:dyDescent="0.3">
      <c r="A16" t="s">
        <v>3</v>
      </c>
      <c r="B16" s="46">
        <v>0</v>
      </c>
      <c r="C16" s="33">
        <v>200</v>
      </c>
      <c r="D16" s="33">
        <v>0</v>
      </c>
      <c r="E16" s="47">
        <v>0</v>
      </c>
      <c r="F16" s="32">
        <v>500</v>
      </c>
    </row>
    <row r="17" spans="1:6" x14ac:dyDescent="0.25">
      <c r="B17" s="34" t="s">
        <v>59</v>
      </c>
      <c r="C17" s="34" t="s">
        <v>49</v>
      </c>
      <c r="D17" s="34" t="s">
        <v>59</v>
      </c>
      <c r="E17" s="34" t="s">
        <v>59</v>
      </c>
      <c r="F17" s="34" t="s">
        <v>59</v>
      </c>
    </row>
    <row r="18" spans="1:6" x14ac:dyDescent="0.25">
      <c r="A18" t="s">
        <v>17</v>
      </c>
      <c r="B18" s="21">
        <f xml:space="preserve"> MIN($D22/B5, $D23/B6) * B14</f>
        <v>1500</v>
      </c>
      <c r="C18" s="21">
        <f xml:space="preserve"> MIN($D22/C5, $D23/C6) * C14</f>
        <v>0</v>
      </c>
      <c r="D18" s="21">
        <f xml:space="preserve"> MIN($D22/D5, $D23/D6) * D14</f>
        <v>666.66666666666663</v>
      </c>
      <c r="E18" s="21">
        <f xml:space="preserve"> MIN($D22/E5, $D23/E6) * E14</f>
        <v>0</v>
      </c>
      <c r="F18" s="21">
        <f xml:space="preserve"> MIN($D22/F5, $D23/F6) * F14</f>
        <v>500</v>
      </c>
    </row>
    <row r="20" spans="1:6" ht="13" x14ac:dyDescent="0.3">
      <c r="A20" s="44" t="s">
        <v>4</v>
      </c>
    </row>
    <row r="21" spans="1:6" ht="13" thickBot="1" x14ac:dyDescent="0.3">
      <c r="B21" s="2" t="s">
        <v>11</v>
      </c>
      <c r="C21" s="2"/>
      <c r="D21" s="2" t="s">
        <v>16</v>
      </c>
    </row>
    <row r="22" spans="1:6" x14ac:dyDescent="0.25">
      <c r="A22" t="s">
        <v>5</v>
      </c>
      <c r="B22" s="21">
        <f xml:space="preserve"> SUMPRODUCT(Labor_hours, Units_produced)</f>
        <v>4200</v>
      </c>
      <c r="C22" s="34" t="s">
        <v>60</v>
      </c>
      <c r="D22" s="12">
        <v>4000</v>
      </c>
    </row>
    <row r="23" spans="1:6" ht="13" thickBot="1" x14ac:dyDescent="0.3">
      <c r="A23" t="s">
        <v>6</v>
      </c>
      <c r="B23" s="21">
        <f xml:space="preserve"> SUMPRODUCT(Cloth, Units_produced)</f>
        <v>3250</v>
      </c>
      <c r="C23" s="34" t="s">
        <v>59</v>
      </c>
      <c r="D23" s="13">
        <v>4500</v>
      </c>
    </row>
    <row r="25" spans="1:6" ht="13" x14ac:dyDescent="0.3">
      <c r="A25" s="44" t="s">
        <v>13</v>
      </c>
    </row>
    <row r="26" spans="1:6" x14ac:dyDescent="0.25">
      <c r="A26" t="s">
        <v>61</v>
      </c>
      <c r="B26" s="4">
        <f>SUMPRODUCT(Selling_price, Units_produced)</f>
        <v>63000</v>
      </c>
    </row>
    <row r="27" spans="1:6" x14ac:dyDescent="0.25">
      <c r="A27" t="s">
        <v>62</v>
      </c>
      <c r="B27" s="4">
        <f>SUMPRODUCT(Variable_cost, Units_produced)</f>
        <v>19500</v>
      </c>
    </row>
    <row r="28" spans="1:6" ht="13" thickBot="1" x14ac:dyDescent="0.3">
      <c r="A28" t="s">
        <v>63</v>
      </c>
      <c r="B28" s="4">
        <f>SUMPRODUCT(Produce_any?, Fixed_cost_for_equipment)</f>
        <v>4700</v>
      </c>
    </row>
    <row r="29" spans="1:6" ht="14" thickTop="1" thickBot="1" x14ac:dyDescent="0.35">
      <c r="A29" s="39" t="s">
        <v>7</v>
      </c>
      <c r="B29" s="37">
        <f xml:space="preserve"> Revenue - Total_variable_cost - Total_fixed_cost_for_equipment</f>
        <v>38800</v>
      </c>
      <c r="D29" s="1"/>
    </row>
    <row r="30" spans="1:6" ht="13" thickTop="1" x14ac:dyDescent="0.25"/>
    <row r="31" spans="1:6" ht="13" x14ac:dyDescent="0.3">
      <c r="A31" s="1"/>
    </row>
  </sheetData>
  <mergeCells count="2">
    <mergeCell ref="A1:B1"/>
    <mergeCell ref="H1:I1"/>
  </mergeCells>
  <phoneticPr fontId="7" type="noConversion"/>
  <printOptions horizontalCentered="1" verticalCentered="1" headings="1" gridLines="1" gridLinesSet="0"/>
  <pageMargins left="0.75" right="0.75" top="1" bottom="1" header="0.5" footer="0.5"/>
  <pageSetup scale="72" orientation="landscape" horizontalDpi="300" verticalDpi="300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31"/>
  <sheetViews>
    <sheetView workbookViewId="0">
      <selection activeCell="K38" sqref="K38"/>
    </sheetView>
  </sheetViews>
  <sheetFormatPr defaultRowHeight="12.5" x14ac:dyDescent="0.25"/>
  <cols>
    <col min="1" max="1" width="30.08984375" customWidth="1"/>
    <col min="2" max="2" width="13.54296875" bestFit="1" customWidth="1"/>
    <col min="3" max="3" width="12" customWidth="1"/>
    <col min="4" max="4" width="11.453125" customWidth="1"/>
    <col min="8" max="8" width="29.90625" bestFit="1" customWidth="1"/>
    <col min="9" max="9" width="20.54296875" bestFit="1" customWidth="1"/>
  </cols>
  <sheetData>
    <row r="1" spans="1:9" ht="13" x14ac:dyDescent="0.3">
      <c r="A1" s="49" t="s">
        <v>10</v>
      </c>
      <c r="B1" s="49"/>
      <c r="H1" s="48" t="s">
        <v>64</v>
      </c>
      <c r="I1" s="48"/>
    </row>
    <row r="2" spans="1:9" x14ac:dyDescent="0.25">
      <c r="H2" s="24" t="s">
        <v>16</v>
      </c>
      <c r="I2" s="24" t="s">
        <v>26</v>
      </c>
    </row>
    <row r="3" spans="1:9" ht="13" x14ac:dyDescent="0.3">
      <c r="A3" s="44" t="s">
        <v>8</v>
      </c>
      <c r="H3" s="24" t="s">
        <v>6</v>
      </c>
      <c r="I3" s="24" t="s">
        <v>27</v>
      </c>
    </row>
    <row r="4" spans="1:9" ht="13" thickBot="1" x14ac:dyDescent="0.3">
      <c r="B4" s="34" t="s">
        <v>0</v>
      </c>
      <c r="C4" s="34" t="s">
        <v>1</v>
      </c>
      <c r="D4" s="34" t="s">
        <v>2</v>
      </c>
      <c r="E4" s="34" t="s">
        <v>14</v>
      </c>
      <c r="F4" s="34" t="s">
        <v>15</v>
      </c>
      <c r="H4" s="24" t="s">
        <v>28</v>
      </c>
      <c r="I4" s="24" t="s">
        <v>29</v>
      </c>
    </row>
    <row r="5" spans="1:9" x14ac:dyDescent="0.25">
      <c r="A5" t="s">
        <v>65</v>
      </c>
      <c r="B5" s="6">
        <v>2</v>
      </c>
      <c r="C5" s="7">
        <v>1</v>
      </c>
      <c r="D5" s="7">
        <v>6</v>
      </c>
      <c r="E5" s="7">
        <v>4</v>
      </c>
      <c r="F5" s="8">
        <v>8</v>
      </c>
      <c r="H5" s="24" t="s">
        <v>30</v>
      </c>
      <c r="I5" s="24" t="s">
        <v>31</v>
      </c>
    </row>
    <row r="6" spans="1:9" ht="13" thickBot="1" x14ac:dyDescent="0.3">
      <c r="A6" t="s">
        <v>19</v>
      </c>
      <c r="B6" s="9">
        <v>3</v>
      </c>
      <c r="C6" s="10">
        <v>2.5</v>
      </c>
      <c r="D6" s="10">
        <v>4</v>
      </c>
      <c r="E6" s="10">
        <v>4.5</v>
      </c>
      <c r="F6" s="11">
        <v>5.5</v>
      </c>
      <c r="H6" s="24" t="s">
        <v>32</v>
      </c>
      <c r="I6" s="24" t="s">
        <v>33</v>
      </c>
    </row>
    <row r="7" spans="1:9" ht="13" thickBot="1" x14ac:dyDescent="0.3">
      <c r="B7" s="3"/>
      <c r="C7" s="3"/>
      <c r="D7" s="3"/>
      <c r="H7" s="24" t="s">
        <v>34</v>
      </c>
      <c r="I7" s="24" t="s">
        <v>35</v>
      </c>
    </row>
    <row r="8" spans="1:9" x14ac:dyDescent="0.25">
      <c r="A8" t="s">
        <v>21</v>
      </c>
      <c r="B8" s="14">
        <v>35</v>
      </c>
      <c r="C8" s="15">
        <v>40</v>
      </c>
      <c r="D8" s="15">
        <v>65</v>
      </c>
      <c r="E8" s="25">
        <v>70</v>
      </c>
      <c r="F8" s="26">
        <v>110</v>
      </c>
      <c r="H8" s="24" t="s">
        <v>7</v>
      </c>
      <c r="I8" s="24" t="s">
        <v>36</v>
      </c>
    </row>
    <row r="9" spans="1:9" x14ac:dyDescent="0.25">
      <c r="A9" t="s">
        <v>66</v>
      </c>
      <c r="B9" s="16">
        <v>20</v>
      </c>
      <c r="C9" s="17">
        <v>10</v>
      </c>
      <c r="D9" s="17">
        <v>25</v>
      </c>
      <c r="E9" s="27">
        <v>30</v>
      </c>
      <c r="F9" s="28">
        <v>35</v>
      </c>
      <c r="H9" s="24" t="s">
        <v>37</v>
      </c>
      <c r="I9" s="24" t="s">
        <v>38</v>
      </c>
    </row>
    <row r="10" spans="1:9" ht="13" thickBot="1" x14ac:dyDescent="0.3">
      <c r="A10" t="s">
        <v>9</v>
      </c>
      <c r="B10" s="18">
        <v>1500</v>
      </c>
      <c r="C10" s="19">
        <v>1200</v>
      </c>
      <c r="D10" s="19">
        <v>1600</v>
      </c>
      <c r="E10" s="19">
        <v>1500</v>
      </c>
      <c r="F10" s="20">
        <v>1600</v>
      </c>
      <c r="H10" s="24" t="s">
        <v>39</v>
      </c>
      <c r="I10" s="24" t="s">
        <v>40</v>
      </c>
    </row>
    <row r="11" spans="1:9" ht="13" x14ac:dyDescent="0.3">
      <c r="D11" s="1"/>
      <c r="H11" s="38" t="s">
        <v>41</v>
      </c>
      <c r="I11" s="24" t="s">
        <v>42</v>
      </c>
    </row>
    <row r="12" spans="1:9" ht="13" x14ac:dyDescent="0.3">
      <c r="A12" s="44" t="s">
        <v>12</v>
      </c>
      <c r="B12" s="45"/>
      <c r="D12" s="1"/>
      <c r="H12" s="24" t="s">
        <v>43</v>
      </c>
      <c r="I12" s="24" t="s">
        <v>44</v>
      </c>
    </row>
    <row r="13" spans="1:9" ht="13" thickBot="1" x14ac:dyDescent="0.3">
      <c r="B13" s="34" t="s">
        <v>0</v>
      </c>
      <c r="C13" s="34" t="s">
        <v>1</v>
      </c>
      <c r="D13" s="34" t="s">
        <v>2</v>
      </c>
      <c r="E13" s="34" t="s">
        <v>14</v>
      </c>
      <c r="F13" s="34" t="s">
        <v>15</v>
      </c>
      <c r="G13" s="2"/>
      <c r="H13" s="24" t="s">
        <v>45</v>
      </c>
      <c r="I13" s="24" t="s">
        <v>46</v>
      </c>
    </row>
    <row r="14" spans="1:9" ht="13" thickBot="1" x14ac:dyDescent="0.3">
      <c r="A14" t="s">
        <v>23</v>
      </c>
      <c r="B14" s="40">
        <v>0</v>
      </c>
      <c r="C14" s="41">
        <v>1</v>
      </c>
      <c r="D14" s="41">
        <v>0</v>
      </c>
      <c r="E14" s="42">
        <v>0</v>
      </c>
      <c r="F14" s="43">
        <v>1</v>
      </c>
      <c r="H14" s="24" t="s">
        <v>47</v>
      </c>
      <c r="I14" s="24" t="s">
        <v>48</v>
      </c>
    </row>
    <row r="15" spans="1:9" ht="13" thickBot="1" x14ac:dyDescent="0.3">
      <c r="B15" s="2"/>
      <c r="C15" s="2"/>
      <c r="D15" s="2"/>
      <c r="H15" s="24" t="s">
        <v>50</v>
      </c>
      <c r="I15" s="24" t="s">
        <v>51</v>
      </c>
    </row>
    <row r="16" spans="1:9" ht="13" thickBot="1" x14ac:dyDescent="0.3">
      <c r="A16" t="s">
        <v>3</v>
      </c>
      <c r="B16" s="46">
        <v>0</v>
      </c>
      <c r="C16" s="50">
        <v>966</v>
      </c>
      <c r="D16" s="33">
        <v>0</v>
      </c>
      <c r="E16" s="47">
        <v>0</v>
      </c>
      <c r="F16" s="51">
        <v>379</v>
      </c>
    </row>
    <row r="17" spans="1:6" x14ac:dyDescent="0.25">
      <c r="B17" s="34" t="s">
        <v>67</v>
      </c>
      <c r="C17" s="34" t="s">
        <v>67</v>
      </c>
      <c r="D17" s="34" t="s">
        <v>67</v>
      </c>
      <c r="E17" s="34" t="s">
        <v>67</v>
      </c>
      <c r="F17" s="34" t="s">
        <v>49</v>
      </c>
    </row>
    <row r="18" spans="1:6" x14ac:dyDescent="0.25">
      <c r="A18" t="s">
        <v>17</v>
      </c>
      <c r="B18" s="21">
        <f xml:space="preserve"> MIN($D22/B5, $D23/B6) * B14</f>
        <v>0</v>
      </c>
      <c r="C18" s="21">
        <f xml:space="preserve"> MIN($D22/C5, $D23/C6) * C14</f>
        <v>1800</v>
      </c>
      <c r="D18" s="21">
        <f xml:space="preserve"> MIN($D22/D5, $D23/D6) * D14</f>
        <v>0</v>
      </c>
      <c r="E18" s="21">
        <f xml:space="preserve"> MIN($D22/E5, $D23/E6) * E14</f>
        <v>0</v>
      </c>
      <c r="F18" s="21">
        <f xml:space="preserve"> MIN($D22/F5, $D23/F6) * F14</f>
        <v>500</v>
      </c>
    </row>
    <row r="20" spans="1:6" ht="13" x14ac:dyDescent="0.3">
      <c r="A20" s="44" t="s">
        <v>4</v>
      </c>
    </row>
    <row r="21" spans="1:6" ht="13" thickBot="1" x14ac:dyDescent="0.3">
      <c r="B21" s="2" t="s">
        <v>11</v>
      </c>
      <c r="C21" s="2"/>
      <c r="D21" s="2" t="s">
        <v>16</v>
      </c>
    </row>
    <row r="22" spans="1:6" x14ac:dyDescent="0.25">
      <c r="A22" t="s">
        <v>5</v>
      </c>
      <c r="B22" s="52">
        <f xml:space="preserve"> SUMPRODUCT(Labor_hours, Units_produced)</f>
        <v>3998</v>
      </c>
      <c r="C22" s="34" t="s">
        <v>67</v>
      </c>
      <c r="D22" s="12">
        <v>4000</v>
      </c>
    </row>
    <row r="23" spans="1:6" ht="13" thickBot="1" x14ac:dyDescent="0.3">
      <c r="A23" t="s">
        <v>6</v>
      </c>
      <c r="B23" s="52">
        <f xml:space="preserve"> SUMPRODUCT(Cloth, Units_produced)</f>
        <v>4499.5</v>
      </c>
      <c r="C23" s="34" t="s">
        <v>67</v>
      </c>
      <c r="D23" s="13">
        <v>4500</v>
      </c>
    </row>
    <row r="25" spans="1:6" ht="13" x14ac:dyDescent="0.3">
      <c r="A25" s="44" t="s">
        <v>13</v>
      </c>
    </row>
    <row r="26" spans="1:6" x14ac:dyDescent="0.25">
      <c r="A26" t="s">
        <v>68</v>
      </c>
      <c r="B26" s="4">
        <f>SUMPRODUCT(Selling_price, Units_produced)</f>
        <v>80330</v>
      </c>
    </row>
    <row r="27" spans="1:6" x14ac:dyDescent="0.25">
      <c r="A27" t="s">
        <v>69</v>
      </c>
      <c r="B27" s="4">
        <f>SUMPRODUCT(Variable_cost, Units_produced)</f>
        <v>22925</v>
      </c>
    </row>
    <row r="28" spans="1:6" ht="13" thickBot="1" x14ac:dyDescent="0.3">
      <c r="A28" t="s">
        <v>70</v>
      </c>
      <c r="B28" s="4">
        <f>SUMPRODUCT(Produce_any?, Fixed_cost_for_equipment)</f>
        <v>2800</v>
      </c>
    </row>
    <row r="29" spans="1:6" ht="14" thickTop="1" thickBot="1" x14ac:dyDescent="0.35">
      <c r="A29" s="39" t="s">
        <v>7</v>
      </c>
      <c r="B29" s="37">
        <f xml:space="preserve"> Revenue - Total_variable_cost - Total_fixed_cost_for_equipment</f>
        <v>54605</v>
      </c>
      <c r="D29" s="1"/>
    </row>
    <row r="30" spans="1:6" ht="13" thickTop="1" x14ac:dyDescent="0.25"/>
    <row r="31" spans="1:6" ht="13" x14ac:dyDescent="0.3">
      <c r="A31" s="1"/>
    </row>
  </sheetData>
  <mergeCells count="2">
    <mergeCell ref="A1:B1"/>
    <mergeCell ref="H1:I1"/>
  </mergeCells>
  <phoneticPr fontId="7" type="noConversion"/>
  <printOptions horizontalCentered="1" verticalCentered="1" headings="1" gridLines="1" gridLinesSet="0"/>
  <pageMargins left="0.75" right="0.75" top="1" bottom="1" header="0.5" footer="0.5"/>
  <pageSetup scale="72" orientation="landscape" horizontalDpi="300" verticalDpi="300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"/>
  <sheetViews>
    <sheetView workbookViewId="0"/>
  </sheetViews>
  <sheetFormatPr defaultRowHeight="12.5" x14ac:dyDescent="0.25"/>
  <sheetData/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"/>
  <sheetViews>
    <sheetView workbookViewId="0"/>
  </sheetViews>
  <sheetFormatPr defaultRowHeight="12.5" x14ac:dyDescent="0.25"/>
  <sheetData/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"/>
  <sheetViews>
    <sheetView workbookViewId="0"/>
  </sheetViews>
  <sheetFormatPr defaultRowHeight="12.5" x14ac:dyDescent="0.25"/>
  <sheetData/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1"/>
  <sheetViews>
    <sheetView workbookViewId="0"/>
  </sheetViews>
  <sheetFormatPr defaultRowHeight="12.5" x14ac:dyDescent="0.25"/>
  <sheetData/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A1"/>
  <sheetViews>
    <sheetView workbookViewId="0"/>
  </sheetViews>
  <sheetFormatPr defaultRowHeight="12.5" x14ac:dyDescent="0.25"/>
  <sheetData/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"/>
  <dimension ref="A1"/>
  <sheetViews>
    <sheetView workbookViewId="0"/>
  </sheetViews>
  <sheetFormatPr defaultRowHeight="12.5" x14ac:dyDescent="0.25"/>
  <sheetData/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/>
  <dimension ref="A1"/>
  <sheetViews>
    <sheetView workbookViewId="0"/>
  </sheetViews>
  <sheetFormatPr defaultRowHeight="12.5" x14ac:dyDescent="0.2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56</vt:i4>
      </vt:variant>
    </vt:vector>
  </HeadingPairs>
  <TitlesOfParts>
    <vt:vector size="62" baseType="lpstr">
      <vt:lpstr>Exercise</vt:lpstr>
      <vt:lpstr>Data</vt:lpstr>
      <vt:lpstr>Model</vt:lpstr>
      <vt:lpstr>Solution</vt:lpstr>
      <vt:lpstr>Model (y int)</vt:lpstr>
      <vt:lpstr>Solution (y int)</vt:lpstr>
      <vt:lpstr>'Model (y int)'!Available</vt:lpstr>
      <vt:lpstr>Solution!Available</vt:lpstr>
      <vt:lpstr>'Solution (y int)'!Available</vt:lpstr>
      <vt:lpstr>Available</vt:lpstr>
      <vt:lpstr>'Model (y int)'!Cloth</vt:lpstr>
      <vt:lpstr>Solution!Cloth</vt:lpstr>
      <vt:lpstr>'Solution (y int)'!Cloth</vt:lpstr>
      <vt:lpstr>Cloth</vt:lpstr>
      <vt:lpstr>'Model (y int)'!Fixed_cost_for_equipment</vt:lpstr>
      <vt:lpstr>Solution!Fixed_cost_for_equipment</vt:lpstr>
      <vt:lpstr>'Solution (y int)'!Fixed_cost_for_equipment</vt:lpstr>
      <vt:lpstr>Fixed_cost_for_equipment</vt:lpstr>
      <vt:lpstr>'Model (y int)'!Labor_hours</vt:lpstr>
      <vt:lpstr>Solution!Labor_hours</vt:lpstr>
      <vt:lpstr>'Solution (y int)'!Labor_hours</vt:lpstr>
      <vt:lpstr>Labor_hours</vt:lpstr>
      <vt:lpstr>'Model (y int)'!Logical_upper_limit</vt:lpstr>
      <vt:lpstr>Solution!Logical_upper_limit</vt:lpstr>
      <vt:lpstr>'Solution (y int)'!Logical_upper_limit</vt:lpstr>
      <vt:lpstr>Logical_upper_limit</vt:lpstr>
      <vt:lpstr>'Model (y int)'!Produce_any?</vt:lpstr>
      <vt:lpstr>Solution!Produce_any?</vt:lpstr>
      <vt:lpstr>'Solution (y int)'!Produce_any?</vt:lpstr>
      <vt:lpstr>Produce_any?</vt:lpstr>
      <vt:lpstr>'Model (y int)'!Profit</vt:lpstr>
      <vt:lpstr>Solution!Profit</vt:lpstr>
      <vt:lpstr>'Solution (y int)'!Profit</vt:lpstr>
      <vt:lpstr>Profit</vt:lpstr>
      <vt:lpstr>'Model (y int)'!Resource_used</vt:lpstr>
      <vt:lpstr>Solution!Resource_used</vt:lpstr>
      <vt:lpstr>'Solution (y int)'!Resource_used</vt:lpstr>
      <vt:lpstr>Resource_used</vt:lpstr>
      <vt:lpstr>'Model (y int)'!Revenue</vt:lpstr>
      <vt:lpstr>Solution!Revenue</vt:lpstr>
      <vt:lpstr>'Solution (y int)'!Revenue</vt:lpstr>
      <vt:lpstr>Revenue</vt:lpstr>
      <vt:lpstr>'Model (y int)'!Selling_price</vt:lpstr>
      <vt:lpstr>Solution!Selling_price</vt:lpstr>
      <vt:lpstr>'Solution (y int)'!Selling_price</vt:lpstr>
      <vt:lpstr>Selling_price</vt:lpstr>
      <vt:lpstr>'Model (y int)'!Total_fixed_cost_for_equipment</vt:lpstr>
      <vt:lpstr>Solution!Total_fixed_cost_for_equipment</vt:lpstr>
      <vt:lpstr>'Solution (y int)'!Total_fixed_cost_for_equipment</vt:lpstr>
      <vt:lpstr>Total_fixed_cost_for_equipment</vt:lpstr>
      <vt:lpstr>'Model (y int)'!Total_variable_cost</vt:lpstr>
      <vt:lpstr>Solution!Total_variable_cost</vt:lpstr>
      <vt:lpstr>'Solution (y int)'!Total_variable_cost</vt:lpstr>
      <vt:lpstr>Total_variable_cost</vt:lpstr>
      <vt:lpstr>'Model (y int)'!Units_produced</vt:lpstr>
      <vt:lpstr>Solution!Units_produced</vt:lpstr>
      <vt:lpstr>'Solution (y int)'!Units_produced</vt:lpstr>
      <vt:lpstr>Units_produced</vt:lpstr>
      <vt:lpstr>'Model (y int)'!Variable_cost</vt:lpstr>
      <vt:lpstr>Solution!Variable_cost</vt:lpstr>
      <vt:lpstr>'Solution (y int)'!Variable_cost</vt:lpstr>
      <vt:lpstr>Variable_cost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cp:lastModifiedBy>Lei Zhao</cp:lastModifiedBy>
  <cp:lastPrinted>2002-09-23T21:19:04Z</cp:lastPrinted>
  <dcterms:created xsi:type="dcterms:W3CDTF">1999-05-06T20:25:44Z</dcterms:created>
  <dcterms:modified xsi:type="dcterms:W3CDTF">2025-11-25T15:55:35Z</dcterms:modified>
</cp:coreProperties>
</file>
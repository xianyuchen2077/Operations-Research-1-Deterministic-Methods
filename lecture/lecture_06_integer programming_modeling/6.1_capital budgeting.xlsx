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teaching\bs_or 1_deterministic models\lectures\lecture_06_integer programming_modeling\"/>
    </mc:Choice>
  </mc:AlternateContent>
  <xr:revisionPtr revIDLastSave="0" documentId="13_ncr:1_{2CAEE5C2-8D9B-4580-A7DE-619AB4CCDF45}" xr6:coauthVersionLast="47" xr6:coauthVersionMax="47" xr10:uidLastSave="{00000000-0000-0000-0000-000000000000}"/>
  <bookViews>
    <workbookView xWindow="-110" yWindow="-110" windowWidth="38620" windowHeight="21100" firstSheet="1" activeTab="2" xr2:uid="{00000000-000D-0000-FFFF-FFFF00000000}"/>
  </bookViews>
  <sheets>
    <sheet name="Exercise" sheetId="6" r:id="rId1"/>
    <sheet name="Data" sheetId="1" r:id="rId2"/>
    <sheet name="Model" sheetId="5" r:id="rId3"/>
    <sheet name="Solution" sheetId="7" r:id="rId4"/>
    <sheet name="Model (relaxation)" sheetId="12" r:id="rId5"/>
    <sheet name="Solution (relaxation)" sheetId="13" r:id="rId6"/>
    <sheet name="Model (remaining) " sheetId="11" r:id="rId7"/>
    <sheet name="Solution (remaining)" sheetId="8" r:id="rId8"/>
    <sheet name="Sheet2" sheetId="4" state="veryHidden" r:id="rId9"/>
    <sheet name="Sheet1" sheetId="3" state="veryHidden" r:id="rId10"/>
  </sheets>
  <definedNames>
    <definedName name="Amount_invested" localSheetId="4">'Model (relaxation)'!$B$14</definedName>
    <definedName name="Amount_invested" localSheetId="6">'Model (remaining) '!$B$14</definedName>
    <definedName name="Amount_invested" localSheetId="3">Solution!$B$14</definedName>
    <definedName name="Amount_invested" localSheetId="5">'Solution (relaxation)'!$B$14</definedName>
    <definedName name="Amount_invested" localSheetId="7">'Solution (remaining)'!$B$14</definedName>
    <definedName name="Amount_invested">Model!$B$14</definedName>
    <definedName name="Budget" localSheetId="4">'Model (relaxation)'!$D$14</definedName>
    <definedName name="Budget" localSheetId="6">'Model (remaining) '!$D$14</definedName>
    <definedName name="Budget" localSheetId="3">Solution!$D$14</definedName>
    <definedName name="Budget" localSheetId="5">'Solution (relaxation)'!$D$14</definedName>
    <definedName name="Budget" localSheetId="7">'Solution (remaining)'!$D$14</definedName>
    <definedName name="Budget">Model!$D$14</definedName>
    <definedName name="Investment_cost" localSheetId="4">'Model (relaxation)'!$B$5:$H$5</definedName>
    <definedName name="Investment_cost" localSheetId="6">'Model (remaining) '!$B$5:$H$5</definedName>
    <definedName name="Investment_cost" localSheetId="3">Solution!$B$5:$H$5</definedName>
    <definedName name="Investment_cost" localSheetId="5">'Solution (relaxation)'!$B$5:$H$5</definedName>
    <definedName name="Investment_cost" localSheetId="7">'Solution (remaining)'!$B$5:$H$5</definedName>
    <definedName name="Investment_cost">Model!$B$5:$H$5</definedName>
    <definedName name="Investment_levels" localSheetId="4">'Model (relaxation)'!$B$10:$H$10</definedName>
    <definedName name="Investment_levels" localSheetId="6">'Model (remaining) '!$B$10:$H$10</definedName>
    <definedName name="Investment_levels" localSheetId="3">Solution!$B$10:$H$10</definedName>
    <definedName name="Investment_levels" localSheetId="5">'Solution (relaxation)'!$B$10:$H$10</definedName>
    <definedName name="Investment_levels" localSheetId="7">'Solution (remaining)'!$B$10:$H$10</definedName>
    <definedName name="Investment_levels">Model!$B$10:$H$10</definedName>
    <definedName name="NPV" localSheetId="4">'Model (relaxation)'!$B$6:$H$6</definedName>
    <definedName name="NPV" localSheetId="6">'Model (remaining) '!$B$6:$H$6</definedName>
    <definedName name="NPV" localSheetId="3">Solution!$B$6:$H$6</definedName>
    <definedName name="NPV" localSheetId="5">'Solution (relaxation)'!$B$6:$H$6</definedName>
    <definedName name="NPV" localSheetId="7">'Solution (remaining)'!$B$6:$H$6</definedName>
    <definedName name="NPV">Model!$B$6:$H$6</definedName>
    <definedName name="NPV_per_investment_dollar" localSheetId="4">'Model (relaxation)'!$B$7:$H$7</definedName>
    <definedName name="NPV_per_investment_dollar" localSheetId="6">'Model (remaining) '!$B$7:$H$7</definedName>
    <definedName name="NPV_per_investment_dollar" localSheetId="3">Solution!$B$7:$H$7</definedName>
    <definedName name="NPV_per_investment_dollar" localSheetId="5">'Solution (relaxation)'!$B$7:$H$7</definedName>
    <definedName name="NPV_per_investment_dollar" localSheetId="7">'Solution (remaining)'!$B$7:$H$7</definedName>
    <definedName name="NPV_per_investment_dollar">Model!$B$7:$H$7</definedName>
    <definedName name="Remaining" localSheetId="6">'Model (remaining) '!$B$17</definedName>
    <definedName name="Remaining">'Solution (remaining)'!$B$17</definedName>
    <definedName name="solver_adj" localSheetId="2" hidden="1">Model!$B$10:$H$10</definedName>
    <definedName name="solver_adj" localSheetId="4" hidden="1">'Model (relaxation)'!$B$10:$H$10</definedName>
    <definedName name="solver_adj" localSheetId="6" hidden="1">'Model (remaining) '!$B$10:$H$10,'Model (remaining) '!$B$17</definedName>
    <definedName name="solver_adj" localSheetId="3" hidden="1">Solution!$B$10:$H$10</definedName>
    <definedName name="solver_adj" localSheetId="5" hidden="1">'Solution (relaxation)'!$B$10:$H$10</definedName>
    <definedName name="solver_adj" localSheetId="7" hidden="1">'Solution (remaining)'!$B$10:$H$10,'Solution (remaining)'!$B$17</definedName>
    <definedName name="solver_cvg" localSheetId="2" hidden="1">0.0001</definedName>
    <definedName name="solver_cvg" localSheetId="4" hidden="1">0.0001</definedName>
    <definedName name="solver_cvg" localSheetId="3" hidden="1">0.0001</definedName>
    <definedName name="solver_cvg" localSheetId="5" hidden="1">0.0001</definedName>
    <definedName name="solver_cvg" localSheetId="7" hidden="1">0.0001</definedName>
    <definedName name="solver_drv" localSheetId="2" hidden="1">1</definedName>
    <definedName name="solver_drv" localSheetId="4" hidden="1">1</definedName>
    <definedName name="solver_drv" localSheetId="6" hidden="1">1</definedName>
    <definedName name="solver_drv" localSheetId="3" hidden="1">1</definedName>
    <definedName name="solver_drv" localSheetId="5" hidden="1">1</definedName>
    <definedName name="solver_drv" localSheetId="7" hidden="1">1</definedName>
    <definedName name="solver_eng" localSheetId="2" hidden="1">2</definedName>
    <definedName name="solver_eng" localSheetId="4" hidden="1">2</definedName>
    <definedName name="solver_eng" localSheetId="6" hidden="1">2</definedName>
    <definedName name="solver_eng" localSheetId="5" hidden="1">2</definedName>
    <definedName name="solver_eng" localSheetId="7" hidden="1">2</definedName>
    <definedName name="solver_est" localSheetId="2" hidden="1">1</definedName>
    <definedName name="solver_est" localSheetId="4" hidden="1">1</definedName>
    <definedName name="solver_est" localSheetId="6" hidden="1">1</definedName>
    <definedName name="solver_est" localSheetId="3" hidden="1">1</definedName>
    <definedName name="solver_est" localSheetId="5" hidden="1">1</definedName>
    <definedName name="solver_est" localSheetId="7" hidden="1">1</definedName>
    <definedName name="solver_itr" localSheetId="2" hidden="1">100</definedName>
    <definedName name="solver_itr" localSheetId="4" hidden="1">100</definedName>
    <definedName name="solver_itr" localSheetId="6" hidden="1">2147483647</definedName>
    <definedName name="solver_itr" localSheetId="3" hidden="1">100</definedName>
    <definedName name="solver_itr" localSheetId="5" hidden="1">100</definedName>
    <definedName name="solver_itr" localSheetId="7" hidden="1">2147483647</definedName>
    <definedName name="solver_lhs1" localSheetId="2" hidden="1">Model!$B$14</definedName>
    <definedName name="solver_lhs1" localSheetId="4" hidden="1">'Model (relaxation)'!$B$14</definedName>
    <definedName name="solver_lhs1" localSheetId="6" hidden="1">'Model (remaining) '!$B$10:$H$10</definedName>
    <definedName name="solver_lhs1" localSheetId="3" hidden="1">Solution!$B$14</definedName>
    <definedName name="solver_lhs1" localSheetId="5" hidden="1">'Solution (relaxation)'!$B$14</definedName>
    <definedName name="solver_lhs1" localSheetId="7" hidden="1">'Solution (remaining)'!$B$10:$H$10</definedName>
    <definedName name="solver_lhs2" localSheetId="2" hidden="1">Model!$B$10:$H$10</definedName>
    <definedName name="solver_lhs2" localSheetId="4" hidden="1">'Model (relaxation)'!$B$10:$H$10</definedName>
    <definedName name="solver_lhs2" localSheetId="6" hidden="1">'Model (remaining) '!$D$17</definedName>
    <definedName name="solver_lhs2" localSheetId="3" hidden="1">Solution!$B$10:$H$10</definedName>
    <definedName name="solver_lhs2" localSheetId="5" hidden="1">'Solution (relaxation)'!$B$10:$H$10</definedName>
    <definedName name="solver_lhs2" localSheetId="7" hidden="1">'Solution (remaining)'!$D$17</definedName>
    <definedName name="solver_lhs3" localSheetId="6" hidden="1">'Model (remaining) '!$D$17</definedName>
    <definedName name="solver_lhs3" localSheetId="7" hidden="1">'Solution (remaining)'!$D$17</definedName>
    <definedName name="solver_lin" localSheetId="2" hidden="1">1</definedName>
    <definedName name="solver_lin" localSheetId="4" hidden="1">1</definedName>
    <definedName name="solver_lin" localSheetId="6" hidden="1">1</definedName>
    <definedName name="solver_lin" localSheetId="3" hidden="1">1</definedName>
    <definedName name="solver_lin" localSheetId="5" hidden="1">1</definedName>
    <definedName name="solver_lin" localSheetId="7" hidden="1">1</definedName>
    <definedName name="solver_mip" localSheetId="2" hidden="1">2147483647</definedName>
    <definedName name="solver_mip" localSheetId="4" hidden="1">2147483647</definedName>
    <definedName name="solver_mip" localSheetId="6" hidden="1">2147483647</definedName>
    <definedName name="solver_mip" localSheetId="5" hidden="1">2147483647</definedName>
    <definedName name="solver_mip" localSheetId="7" hidden="1">2147483647</definedName>
    <definedName name="solver_mni" localSheetId="2" hidden="1">30</definedName>
    <definedName name="solver_mni" localSheetId="4" hidden="1">30</definedName>
    <definedName name="solver_mni" localSheetId="5" hidden="1">30</definedName>
    <definedName name="solver_mni" localSheetId="7" hidden="1">30</definedName>
    <definedName name="solver_mrt" localSheetId="2" hidden="1">0.075</definedName>
    <definedName name="solver_mrt" localSheetId="4" hidden="1">0.075</definedName>
    <definedName name="solver_mrt" localSheetId="5" hidden="1">0.075</definedName>
    <definedName name="solver_mrt" localSheetId="7" hidden="1">0.075</definedName>
    <definedName name="solver_msl" localSheetId="2" hidden="1">2</definedName>
    <definedName name="solver_msl" localSheetId="4" hidden="1">2</definedName>
    <definedName name="solver_msl" localSheetId="6" hidden="1">2</definedName>
    <definedName name="solver_msl" localSheetId="5" hidden="1">2</definedName>
    <definedName name="solver_msl" localSheetId="7" hidden="1">2</definedName>
    <definedName name="solver_neg" localSheetId="2" hidden="1">1</definedName>
    <definedName name="solver_neg" localSheetId="4" hidden="1">1</definedName>
    <definedName name="solver_neg" localSheetId="6" hidden="1">1</definedName>
    <definedName name="solver_neg" localSheetId="3" hidden="1">2</definedName>
    <definedName name="solver_neg" localSheetId="5" hidden="1">2</definedName>
    <definedName name="solver_neg" localSheetId="7" hidden="1">1</definedName>
    <definedName name="solver_nod" localSheetId="2" hidden="1">2147483647</definedName>
    <definedName name="solver_nod" localSheetId="4" hidden="1">2147483647</definedName>
    <definedName name="solver_nod" localSheetId="6" hidden="1">2147483647</definedName>
    <definedName name="solver_nod" localSheetId="5" hidden="1">2147483647</definedName>
    <definedName name="solver_nod" localSheetId="7" hidden="1">2147483647</definedName>
    <definedName name="solver_num" localSheetId="2" hidden="1">2</definedName>
    <definedName name="solver_num" localSheetId="4" hidden="1">2</definedName>
    <definedName name="solver_num" localSheetId="6" hidden="1">2</definedName>
    <definedName name="solver_num" localSheetId="3" hidden="1">2</definedName>
    <definedName name="solver_num" localSheetId="5" hidden="1">2</definedName>
    <definedName name="solver_num" localSheetId="7" hidden="1">2</definedName>
    <definedName name="solver_nwt" localSheetId="2" hidden="1">1</definedName>
    <definedName name="solver_nwt" localSheetId="4" hidden="1">1</definedName>
    <definedName name="solver_nwt" localSheetId="6" hidden="1">1</definedName>
    <definedName name="solver_nwt" localSheetId="3" hidden="1">1</definedName>
    <definedName name="solver_nwt" localSheetId="5" hidden="1">1</definedName>
    <definedName name="solver_nwt" localSheetId="7" hidden="1">1</definedName>
    <definedName name="solver_opt" localSheetId="2" hidden="1">Model!$B$17</definedName>
    <definedName name="solver_opt" localSheetId="4" hidden="1">'Model (relaxation)'!$B$17</definedName>
    <definedName name="solver_opt" localSheetId="6" hidden="1">'Model (remaining) '!$B$22</definedName>
    <definedName name="solver_opt" localSheetId="3" hidden="1">Solution!$B$17</definedName>
    <definedName name="solver_opt" localSheetId="5" hidden="1">'Solution (relaxation)'!$B$17</definedName>
    <definedName name="solver_opt" localSheetId="7" hidden="1">'Solution (remaining)'!$B$22</definedName>
    <definedName name="solver_pre" localSheetId="2" hidden="1">0.000001</definedName>
    <definedName name="solver_pre" localSheetId="4" hidden="1">0.000001</definedName>
    <definedName name="solver_pre" localSheetId="3" hidden="1">0.000001</definedName>
    <definedName name="solver_pre" localSheetId="5" hidden="1">0.000001</definedName>
    <definedName name="solver_pre" localSheetId="7" hidden="1">0.000001</definedName>
    <definedName name="solver_rbv" localSheetId="2" hidden="1">1</definedName>
    <definedName name="solver_rbv" localSheetId="4" hidden="1">1</definedName>
    <definedName name="solver_rbv" localSheetId="6" hidden="1">2</definedName>
    <definedName name="solver_rbv" localSheetId="5" hidden="1">1</definedName>
    <definedName name="solver_rbv" localSheetId="7" hidden="1">2</definedName>
    <definedName name="solver_rel1" localSheetId="2" hidden="1">1</definedName>
    <definedName name="solver_rel1" localSheetId="4" hidden="1">1</definedName>
    <definedName name="solver_rel1" localSheetId="6" hidden="1">5</definedName>
    <definedName name="solver_rel1" localSheetId="3" hidden="1">1</definedName>
    <definedName name="solver_rel1" localSheetId="5" hidden="1">1</definedName>
    <definedName name="solver_rel1" localSheetId="7" hidden="1">5</definedName>
    <definedName name="solver_rel2" localSheetId="2" hidden="1">5</definedName>
    <definedName name="solver_rel2" localSheetId="4" hidden="1">5</definedName>
    <definedName name="solver_rel2" localSheetId="6" hidden="1">2</definedName>
    <definedName name="solver_rel2" localSheetId="3" hidden="1">5</definedName>
    <definedName name="solver_rel2" localSheetId="5" hidden="1">5</definedName>
    <definedName name="solver_rel2" localSheetId="7" hidden="1">2</definedName>
    <definedName name="solver_rel3" localSheetId="6" hidden="1">2</definedName>
    <definedName name="solver_rel3" localSheetId="7" hidden="1">2</definedName>
    <definedName name="solver_rhs1" localSheetId="2" hidden="1">Budget</definedName>
    <definedName name="solver_rhs1" localSheetId="4" hidden="1">'Model (relaxation)'!$D$14</definedName>
    <definedName name="solver_rhs1" localSheetId="6" hidden="1">"binary"</definedName>
    <definedName name="solver_rhs1" localSheetId="3" hidden="1">Solution!$D$14</definedName>
    <definedName name="solver_rhs1" localSheetId="5" hidden="1">'Solution (relaxation)'!$D$14</definedName>
    <definedName name="solver_rhs1" localSheetId="7" hidden="1">"binary"</definedName>
    <definedName name="solver_rhs2" localSheetId="2" hidden="1">"binary"</definedName>
    <definedName name="solver_rhs2" localSheetId="4" hidden="1">"binary"</definedName>
    <definedName name="solver_rhs2" localSheetId="6" hidden="1">'Model (remaining) '!$D$14</definedName>
    <definedName name="solver_rhs2" localSheetId="3" hidden="1">binary</definedName>
    <definedName name="solver_rhs2" localSheetId="5" hidden="1">"binary"</definedName>
    <definedName name="solver_rhs2" localSheetId="7" hidden="1">'Solution (remaining)'!$D$14</definedName>
    <definedName name="solver_rhs3" localSheetId="6" hidden="1">'Model (remaining) '!$D$14</definedName>
    <definedName name="solver_rhs3" localSheetId="7" hidden="1">'Solution (remaining)'!$D$14</definedName>
    <definedName name="solver_rlx" localSheetId="2" hidden="1">2</definedName>
    <definedName name="solver_rlx" localSheetId="4" hidden="1">1</definedName>
    <definedName name="solver_rlx" localSheetId="6" hidden="1">2</definedName>
    <definedName name="solver_rlx" localSheetId="5" hidden="1">1</definedName>
    <definedName name="solver_rlx" localSheetId="7" hidden="1">2</definedName>
    <definedName name="solver_rsd" localSheetId="2" hidden="1">0</definedName>
    <definedName name="solver_rsd" localSheetId="4" hidden="1">0</definedName>
    <definedName name="solver_rsd" localSheetId="5" hidden="1">0</definedName>
    <definedName name="solver_rsd" localSheetId="7" hidden="1">0</definedName>
    <definedName name="solver_scl" localSheetId="2" hidden="1">2</definedName>
    <definedName name="solver_scl" localSheetId="4" hidden="1">2</definedName>
    <definedName name="solver_scl" localSheetId="6" hidden="1">2</definedName>
    <definedName name="solver_scl" localSheetId="3" hidden="1">2</definedName>
    <definedName name="solver_scl" localSheetId="5" hidden="1">2</definedName>
    <definedName name="solver_scl" localSheetId="7" hidden="1">2</definedName>
    <definedName name="solver_sho" localSheetId="2" hidden="1">2</definedName>
    <definedName name="solver_sho" localSheetId="4" hidden="1">2</definedName>
    <definedName name="solver_sho" localSheetId="6" hidden="1">2</definedName>
    <definedName name="solver_sho" localSheetId="3" hidden="1">2</definedName>
    <definedName name="solver_sho" localSheetId="5" hidden="1">2</definedName>
    <definedName name="solver_sho" localSheetId="7" hidden="1">2</definedName>
    <definedName name="solver_ssz" localSheetId="2" hidden="1">100</definedName>
    <definedName name="solver_ssz" localSheetId="4" hidden="1">100</definedName>
    <definedName name="solver_ssz" localSheetId="6" hidden="1">0</definedName>
    <definedName name="solver_ssz" localSheetId="5" hidden="1">100</definedName>
    <definedName name="solver_ssz" localSheetId="7" hidden="1">0</definedName>
    <definedName name="solver_tim" localSheetId="2" hidden="1">100</definedName>
    <definedName name="solver_tim" localSheetId="4" hidden="1">100</definedName>
    <definedName name="solver_tim" localSheetId="6" hidden="1">2147483647</definedName>
    <definedName name="solver_tim" localSheetId="3" hidden="1">100</definedName>
    <definedName name="solver_tim" localSheetId="5" hidden="1">100</definedName>
    <definedName name="solver_tim" localSheetId="7" hidden="1">2147483647</definedName>
    <definedName name="solver_tol" localSheetId="2" hidden="1">0.01</definedName>
    <definedName name="solver_tol" localSheetId="4" hidden="1">0.01</definedName>
    <definedName name="solver_tol" localSheetId="6" hidden="1">0.01</definedName>
    <definedName name="solver_tol" localSheetId="3" hidden="1">0.05</definedName>
    <definedName name="solver_tol" localSheetId="5" hidden="1">0.01</definedName>
    <definedName name="solver_tol" localSheetId="7" hidden="1">0.01</definedName>
    <definedName name="solver_typ" localSheetId="2" hidden="1">1</definedName>
    <definedName name="solver_typ" localSheetId="4" hidden="1">1</definedName>
    <definedName name="solver_typ" localSheetId="6" hidden="1">1</definedName>
    <definedName name="solver_typ" localSheetId="3" hidden="1">1</definedName>
    <definedName name="solver_typ" localSheetId="5" hidden="1">1</definedName>
    <definedName name="solver_typ" localSheetId="7" hidden="1">1</definedName>
    <definedName name="solver_val" localSheetId="2" hidden="1">0</definedName>
    <definedName name="solver_val" localSheetId="4" hidden="1">0</definedName>
    <definedName name="solver_val" localSheetId="6" hidden="1">0</definedName>
    <definedName name="solver_val" localSheetId="3" hidden="1">0</definedName>
    <definedName name="solver_val" localSheetId="5" hidden="1">0</definedName>
    <definedName name="solver_val" localSheetId="7" hidden="1">0</definedName>
    <definedName name="solver_ver" localSheetId="2" hidden="1">3</definedName>
    <definedName name="solver_ver" localSheetId="4" hidden="1">3</definedName>
    <definedName name="solver_ver" localSheetId="6" hidden="1">3</definedName>
    <definedName name="solver_ver" localSheetId="5" hidden="1">3</definedName>
    <definedName name="solver_ver" localSheetId="7" hidden="1">3</definedName>
    <definedName name="Total" localSheetId="6">'Model (remaining) '!$B$22</definedName>
    <definedName name="Total">'Solution (remaining)'!$B$22</definedName>
    <definedName name="Total_cash" localSheetId="6">'Model (remaining) '!$D$17</definedName>
    <definedName name="Total_cash">'Solution (remaining)'!$D$17</definedName>
    <definedName name="Total_NPV" localSheetId="4">'Model (relaxation)'!$B$17</definedName>
    <definedName name="Total_NPV" localSheetId="6">'Model (remaining) '!$B$20</definedName>
    <definedName name="Total_NPV" localSheetId="3">Solution!$B$17</definedName>
    <definedName name="Total_NPV" localSheetId="5">'Solution (relaxation)'!$B$17</definedName>
    <definedName name="Total_NPV" localSheetId="7">'Solution (remaining)'!$B$20</definedName>
    <definedName name="Total_NPV">Model!$B$17</definedName>
    <definedName name="Total_remaining" localSheetId="6">'Model (remaining) '!$B$21</definedName>
    <definedName name="Total_remaining">'Solution (remaining)'!$B$21</definedName>
  </definedNames>
  <calcPr calcId="191029" iterateDelta="9.9999999999999995E-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3" l="1"/>
  <c r="B14" i="13"/>
  <c r="H7" i="13"/>
  <c r="G7" i="13"/>
  <c r="F7" i="13"/>
  <c r="E7" i="13"/>
  <c r="D7" i="13"/>
  <c r="C7" i="13"/>
  <c r="B7" i="13"/>
  <c r="B17" i="12"/>
  <c r="B14" i="12"/>
  <c r="H7" i="12"/>
  <c r="G7" i="12"/>
  <c r="F7" i="12"/>
  <c r="E7" i="12"/>
  <c r="D7" i="12"/>
  <c r="C7" i="12"/>
  <c r="B7" i="12"/>
  <c r="B21" i="11"/>
  <c r="B20" i="11"/>
  <c r="B22" i="11" s="1"/>
  <c r="B14" i="11"/>
  <c r="D17" i="11" s="1"/>
  <c r="H7" i="11"/>
  <c r="G7" i="11"/>
  <c r="F7" i="11"/>
  <c r="E7" i="11"/>
  <c r="D7" i="11"/>
  <c r="C7" i="11"/>
  <c r="B7" i="11"/>
  <c r="B21" i="8"/>
  <c r="B20" i="8"/>
  <c r="B22" i="8" s="1"/>
  <c r="B14" i="7" l="1"/>
  <c r="B14" i="8" l="1"/>
  <c r="D17" i="8" s="1"/>
  <c r="H7" i="8"/>
  <c r="G7" i="8"/>
  <c r="F7" i="8"/>
  <c r="E7" i="8"/>
  <c r="D7" i="8"/>
  <c r="C7" i="8"/>
  <c r="B7" i="8"/>
  <c r="B17" i="7" l="1"/>
  <c r="H7" i="7"/>
  <c r="G7" i="7"/>
  <c r="F7" i="7"/>
  <c r="E7" i="7"/>
  <c r="D7" i="7"/>
  <c r="C7" i="7"/>
  <c r="B7" i="7"/>
  <c r="B7" i="5"/>
  <c r="C7" i="5"/>
  <c r="D7" i="5"/>
  <c r="E7" i="5"/>
  <c r="F7" i="5"/>
  <c r="G7" i="5"/>
  <c r="H7" i="5"/>
  <c r="B17" i="5"/>
  <c r="B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DED1554C-ADD1-4639-9253-BCA0B093881D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B233C56B-0897-4001-B9D0-27A970629751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1 if we invest, 0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<sst xmlns="http://schemas.openxmlformats.org/spreadsheetml/2006/main" count="224" uniqueCount="47">
  <si>
    <t>Investment</t>
  </si>
  <si>
    <t>NPV</t>
  </si>
  <si>
    <t>Budget</t>
  </si>
  <si>
    <t>Investment cost</t>
  </si>
  <si>
    <t>Total NPV</t>
  </si>
  <si>
    <t>Tatham capital budgeting model</t>
  </si>
  <si>
    <t>Input data on potential investments</t>
  </si>
  <si>
    <t>Investment levels</t>
  </si>
  <si>
    <t>Budget constraint</t>
  </si>
  <si>
    <t>NPV per investment dollar</t>
  </si>
  <si>
    <t>Decisions: whether to invest</t>
  </si>
  <si>
    <t>Amount invested</t>
  </si>
  <si>
    <t>Objective to maximize</t>
  </si>
  <si>
    <t>Amount_invested</t>
  </si>
  <si>
    <t>=Model!$B$14</t>
  </si>
  <si>
    <t>=Model!$D$14</t>
  </si>
  <si>
    <t>Investment_cost</t>
  </si>
  <si>
    <t>=Model!$B$5:$H$5</t>
  </si>
  <si>
    <t>Investment_levels</t>
  </si>
  <si>
    <t>=Model!$B$10:$H$10</t>
  </si>
  <si>
    <t>=Model!$B$6:$H$6</t>
  </si>
  <si>
    <t>NPV_per_investment_dollar</t>
  </si>
  <si>
    <t>=Model!$B$7:$H$7</t>
  </si>
  <si>
    <t>Total_NPV</t>
  </si>
  <si>
    <t>=Model!$B$17</t>
  </si>
  <si>
    <t>&lt;=</t>
    <phoneticPr fontId="7" type="noConversion"/>
  </si>
  <si>
    <r>
      <t>R</t>
    </r>
    <r>
      <rPr>
        <b/>
        <sz val="10"/>
        <rFont val="Arial"/>
        <family val="2"/>
      </rPr>
      <t>ange names</t>
    </r>
    <phoneticPr fontId="7" type="noConversion"/>
  </si>
  <si>
    <t>Total</t>
    <phoneticPr fontId="8" type="noConversion"/>
  </si>
  <si>
    <t>Remaining</t>
    <phoneticPr fontId="8" type="noConversion"/>
  </si>
  <si>
    <t>Total remaining</t>
    <phoneticPr fontId="8" type="noConversion"/>
  </si>
  <si>
    <t>Total cash</t>
    <phoneticPr fontId="8" type="noConversion"/>
  </si>
  <si>
    <t>='Solution (remaining)'!$B$14</t>
  </si>
  <si>
    <t>='Solution (remaining)'!$D$14</t>
  </si>
  <si>
    <t>='Solution (remaining)'!$B$5:$H$5</t>
  </si>
  <si>
    <t>='Solution (remaining)'!$B$10:$H$10</t>
  </si>
  <si>
    <t>='Solution (remaining)'!$B$6:$H$6</t>
  </si>
  <si>
    <t>='Solution (remaining)'!$B$7:$H$7</t>
  </si>
  <si>
    <t>Remaining</t>
  </si>
  <si>
    <t>='Solution (remaining)'!$B$16</t>
  </si>
  <si>
    <t>Total</t>
  </si>
  <si>
    <t>='Solution (remaining)'!$B$21</t>
  </si>
  <si>
    <t>Total_cash</t>
  </si>
  <si>
    <t>='Solution (remaining)'!$D$16</t>
  </si>
  <si>
    <t>='Solution (remaining)'!$B$19</t>
  </si>
  <si>
    <t>Total_remaining</t>
  </si>
  <si>
    <t>='Solution (remaining)'!$B$20</t>
  </si>
  <si>
    <t>=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</si>
</sst>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76" formatCode="&quot;$&quot;#,##0;\-&quot;$&quot;#,##0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9"/>
      <name val="宋体"/>
      <family val="3"/>
      <charset val="134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6" fontId="0" fillId="0" borderId="0" xfId="0" applyNumberFormat="1"/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  <xf numFmtId="0" fontId="3" fillId="0" borderId="0" xfId="0" applyFont="1"/>
    <xf numFmtId="0" fontId="0" fillId="0" borderId="0" xfId="0" applyNumberFormat="1"/>
    <xf numFmtId="176" fontId="0" fillId="0" borderId="0" xfId="0" applyNumberFormat="1" applyAlignment="1">
      <alignment horizontal="right"/>
    </xf>
    <xf numFmtId="176" fontId="0" fillId="0" borderId="0" xfId="0" quotePrefix="1" applyNumberFormat="1" applyAlignment="1">
      <alignment horizontal="center"/>
    </xf>
    <xf numFmtId="176" fontId="0" fillId="2" borderId="1" xfId="0" applyNumberFormat="1" applyFill="1" applyBorder="1"/>
    <xf numFmtId="176" fontId="0" fillId="2" borderId="2" xfId="0" applyNumberFormat="1" applyFill="1" applyBorder="1"/>
    <xf numFmtId="176" fontId="0" fillId="2" borderId="3" xfId="0" applyNumberFormat="1" applyFill="1" applyBorder="1"/>
    <xf numFmtId="176" fontId="0" fillId="2" borderId="4" xfId="0" applyNumberFormat="1" applyFill="1" applyBorder="1"/>
    <xf numFmtId="176" fontId="0" fillId="2" borderId="5" xfId="0" applyNumberFormat="1" applyFill="1" applyBorder="1"/>
    <xf numFmtId="176" fontId="0" fillId="2" borderId="6" xfId="0" applyNumberFormat="1" applyFill="1" applyBorder="1"/>
    <xf numFmtId="176" fontId="0" fillId="2" borderId="7" xfId="0" applyNumberFormat="1" applyFill="1" applyBorder="1"/>
    <xf numFmtId="176" fontId="0" fillId="0" borderId="0" xfId="0" applyNumberForma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2" fontId="0" fillId="0" borderId="0" xfId="0" applyNumberFormat="1" applyFill="1" applyBorder="1"/>
    <xf numFmtId="176" fontId="0" fillId="0" borderId="11" xfId="0" applyNumberFormat="1" applyBorder="1" applyAlignment="1">
      <alignment horizontal="right"/>
    </xf>
    <xf numFmtId="0" fontId="2" fillId="0" borderId="0" xfId="0" applyFont="1"/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  <xf numFmtId="0" fontId="0" fillId="0" borderId="0" xfId="0" applyFont="1" applyAlignment="1">
      <alignment horizontal="left"/>
    </xf>
    <xf numFmtId="6" fontId="0" fillId="0" borderId="0" xfId="0" applyNumberFormat="1" applyAlignment="1">
      <alignment horizontal="left"/>
    </xf>
    <xf numFmtId="176" fontId="0" fillId="0" borderId="12" xfId="0" applyNumberFormat="1" applyBorder="1" applyAlignment="1">
      <alignment horizontal="right"/>
    </xf>
    <xf numFmtId="2" fontId="9" fillId="0" borderId="9" xfId="0" applyNumberFormat="1" applyFont="1" applyBorder="1" applyAlignment="1">
      <alignment horizontal="center"/>
    </xf>
    <xf numFmtId="176" fontId="9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548368</xdr:colOff>
      <xdr:row>29</xdr:row>
      <xdr:rowOff>43543</xdr:rowOff>
    </xdr:to>
    <xdr:pic>
      <xdr:nvPicPr>
        <xdr:cNvPr id="3075" name="Picture 1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2995613"/>
          <a:ext cx="6053818" cy="1824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548368</xdr:colOff>
      <xdr:row>29</xdr:row>
      <xdr:rowOff>43543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2995613"/>
          <a:ext cx="6053818" cy="1824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547688</xdr:colOff>
      <xdr:row>29</xdr:row>
      <xdr:rowOff>43543</xdr:rowOff>
    </xdr:to>
    <xdr:pic>
      <xdr:nvPicPr>
        <xdr:cNvPr id="2058" name="Picture 1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2995613"/>
          <a:ext cx="6053138" cy="1824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547688</xdr:colOff>
      <xdr:row>29</xdr:row>
      <xdr:rowOff>43543</xdr:rowOff>
    </xdr:to>
    <xdr:pic>
      <xdr:nvPicPr>
        <xdr:cNvPr id="4099" name="Picture 1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2995613"/>
          <a:ext cx="6053138" cy="1824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547688</xdr:colOff>
      <xdr:row>29</xdr:row>
      <xdr:rowOff>43543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2DC4F-AAD4-4803-A32F-B85D14CE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2965450"/>
          <a:ext cx="5875338" cy="1789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8</xdr:col>
      <xdr:colOff>547688</xdr:colOff>
      <xdr:row>29</xdr:row>
      <xdr:rowOff>43543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3E2D4-A7BF-4762-AA46-64654DC04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2965450"/>
          <a:ext cx="5875338" cy="1789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8</xdr:col>
      <xdr:colOff>547688</xdr:colOff>
      <xdr:row>34</xdr:row>
      <xdr:rowOff>43543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3784600"/>
          <a:ext cx="5875338" cy="1789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8</xdr:col>
      <xdr:colOff>547688</xdr:colOff>
      <xdr:row>34</xdr:row>
      <xdr:rowOff>43543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2965450"/>
          <a:ext cx="5875338" cy="1789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"/>
  <sheetViews>
    <sheetView workbookViewId="0">
      <selection activeCell="C37" sqref="C37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1" max="11" width="15.54296875" customWidth="1"/>
    <col min="13" max="13" width="9" customWidth="1"/>
    <col min="14" max="14" width="11.54296875" bestFit="1" customWidth="1"/>
  </cols>
  <sheetData>
    <row r="1" spans="1:12" ht="13" x14ac:dyDescent="0.3">
      <c r="A1" s="35" t="s">
        <v>5</v>
      </c>
      <c r="B1" s="35"/>
    </row>
    <row r="3" spans="1:12" ht="13" x14ac:dyDescent="0.3">
      <c r="A3" s="29" t="s">
        <v>6</v>
      </c>
      <c r="B3" s="28"/>
      <c r="K3" s="4"/>
    </row>
    <row r="4" spans="1:12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K4" s="5"/>
      <c r="L4" s="5"/>
    </row>
    <row r="5" spans="1:12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K5" s="5"/>
      <c r="L5" s="5"/>
    </row>
    <row r="6" spans="1:12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K6" s="5"/>
      <c r="L6" s="5"/>
    </row>
    <row r="7" spans="1:12" x14ac:dyDescent="0.25">
      <c r="A7" t="s">
        <v>9</v>
      </c>
      <c r="B7" s="18"/>
      <c r="C7" s="18"/>
      <c r="D7" s="18"/>
      <c r="E7" s="18"/>
      <c r="F7" s="18"/>
      <c r="G7" s="18"/>
      <c r="H7" s="18"/>
      <c r="K7" s="5"/>
      <c r="L7" s="5"/>
    </row>
    <row r="9" spans="1:12" ht="13.5" thickBot="1" x14ac:dyDescent="0.35">
      <c r="A9" s="29" t="s">
        <v>10</v>
      </c>
      <c r="B9" s="28"/>
    </row>
    <row r="10" spans="1:12" ht="13.5" thickTop="1" thickBot="1" x14ac:dyDescent="0.3">
      <c r="A10" s="16" t="s">
        <v>7</v>
      </c>
      <c r="B10" s="23"/>
      <c r="C10" s="24"/>
      <c r="D10" s="24"/>
      <c r="E10" s="24"/>
      <c r="F10" s="24"/>
      <c r="G10" s="24"/>
      <c r="H10" s="25"/>
    </row>
    <row r="11" spans="1:12" ht="13" thickTop="1" x14ac:dyDescent="0.25">
      <c r="B11" s="1"/>
      <c r="C11" s="1"/>
      <c r="D11" s="1"/>
      <c r="E11" s="1"/>
      <c r="F11" s="1"/>
      <c r="G11" s="1"/>
      <c r="H11" s="1"/>
      <c r="I11" s="2"/>
      <c r="J11" s="2"/>
    </row>
    <row r="12" spans="1:12" ht="13" x14ac:dyDescent="0.3">
      <c r="A12" s="29" t="s">
        <v>8</v>
      </c>
      <c r="B12" s="1"/>
      <c r="C12" s="1"/>
      <c r="D12" s="1"/>
      <c r="E12" s="1"/>
      <c r="F12" s="1"/>
      <c r="G12" s="1"/>
      <c r="H12" s="1"/>
      <c r="I12" s="2"/>
      <c r="J12" s="2"/>
    </row>
    <row r="13" spans="1:12" ht="13" thickBot="1" x14ac:dyDescent="0.3">
      <c r="B13" s="3" t="s">
        <v>11</v>
      </c>
      <c r="C13" s="3"/>
      <c r="D13" s="3" t="s">
        <v>2</v>
      </c>
      <c r="E13" s="3"/>
      <c r="H13" s="1"/>
      <c r="I13" s="2"/>
      <c r="J13" s="2"/>
    </row>
    <row r="14" spans="1:12" ht="13" thickBot="1" x14ac:dyDescent="0.3">
      <c r="B14" s="6"/>
      <c r="C14" s="7"/>
      <c r="D14" s="8">
        <v>15000</v>
      </c>
      <c r="E14" s="6"/>
    </row>
    <row r="16" spans="1:12" ht="13.5" thickBot="1" x14ac:dyDescent="0.35">
      <c r="A16" s="29" t="s">
        <v>12</v>
      </c>
    </row>
    <row r="17" spans="1:9" ht="13.5" thickTop="1" thickBot="1" x14ac:dyDescent="0.3">
      <c r="A17" s="17" t="s">
        <v>4</v>
      </c>
      <c r="B17" s="19"/>
      <c r="C17" s="15"/>
      <c r="D17" s="15"/>
      <c r="E17" s="15"/>
    </row>
    <row r="18" spans="1:9" ht="13" thickTop="1" x14ac:dyDescent="0.25">
      <c r="I18" s="5"/>
    </row>
  </sheetData>
  <mergeCells count="1">
    <mergeCell ref="A1:B1"/>
  </mergeCells>
  <phoneticPr fontId="8" type="noConversion"/>
  <printOptions horizontalCentered="1" verticalCentered="1" headings="1" gridLines="1" gridLinesSet="0"/>
  <pageMargins left="0.75" right="0.75" top="1" bottom="1" header="0.5" footer="0.5"/>
  <pageSetup scale="86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L18"/>
  <sheetViews>
    <sheetView workbookViewId="0">
      <selection activeCell="D33" sqref="D33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1" max="11" width="15.54296875" customWidth="1"/>
    <col min="13" max="13" width="9" customWidth="1"/>
    <col min="14" max="14" width="11.54296875" bestFit="1" customWidth="1"/>
  </cols>
  <sheetData>
    <row r="1" spans="1:12" ht="13" x14ac:dyDescent="0.3">
      <c r="A1" s="35" t="s">
        <v>5</v>
      </c>
      <c r="B1" s="35"/>
    </row>
    <row r="3" spans="1:12" ht="13" x14ac:dyDescent="0.3">
      <c r="A3" s="29" t="s">
        <v>6</v>
      </c>
      <c r="B3" s="28"/>
      <c r="K3" s="4"/>
    </row>
    <row r="4" spans="1:12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K4" s="5"/>
      <c r="L4" s="5"/>
    </row>
    <row r="5" spans="1:12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K5" s="5"/>
      <c r="L5" s="5"/>
    </row>
    <row r="6" spans="1:12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K6" s="5"/>
      <c r="L6" s="5"/>
    </row>
    <row r="7" spans="1:12" x14ac:dyDescent="0.25">
      <c r="A7" t="s">
        <v>9</v>
      </c>
      <c r="B7" s="18"/>
      <c r="C7" s="18"/>
      <c r="D7" s="18"/>
      <c r="E7" s="18"/>
      <c r="F7" s="18"/>
      <c r="G7" s="18"/>
      <c r="H7" s="18"/>
      <c r="K7" s="5"/>
      <c r="L7" s="5"/>
    </row>
    <row r="9" spans="1:12" ht="13.5" thickBot="1" x14ac:dyDescent="0.35">
      <c r="A9" s="29" t="s">
        <v>10</v>
      </c>
      <c r="B9" s="28"/>
    </row>
    <row r="10" spans="1:12" ht="13.5" thickTop="1" thickBot="1" x14ac:dyDescent="0.3">
      <c r="A10" s="16" t="s">
        <v>7</v>
      </c>
      <c r="B10" s="23"/>
      <c r="C10" s="24"/>
      <c r="D10" s="24"/>
      <c r="E10" s="24"/>
      <c r="F10" s="24"/>
      <c r="G10" s="24"/>
      <c r="H10" s="25"/>
    </row>
    <row r="11" spans="1:12" ht="13" thickTop="1" x14ac:dyDescent="0.25">
      <c r="B11" s="1"/>
      <c r="C11" s="1"/>
      <c r="D11" s="1"/>
      <c r="E11" s="1"/>
      <c r="F11" s="1"/>
      <c r="G11" s="1"/>
      <c r="H11" s="1"/>
      <c r="I11" s="2"/>
      <c r="J11" s="2"/>
    </row>
    <row r="12" spans="1:12" ht="13" x14ac:dyDescent="0.3">
      <c r="A12" s="29" t="s">
        <v>8</v>
      </c>
      <c r="B12" s="1"/>
      <c r="C12" s="1"/>
      <c r="D12" s="1"/>
      <c r="E12" s="1"/>
      <c r="F12" s="1"/>
      <c r="G12" s="1"/>
      <c r="H12" s="1"/>
      <c r="I12" s="2"/>
      <c r="J12" s="2"/>
    </row>
    <row r="13" spans="1:12" ht="13" thickBot="1" x14ac:dyDescent="0.3">
      <c r="B13" s="3" t="s">
        <v>11</v>
      </c>
      <c r="C13" s="3"/>
      <c r="D13" s="3" t="s">
        <v>2</v>
      </c>
      <c r="E13" s="3"/>
      <c r="H13" s="1"/>
      <c r="I13" s="2"/>
      <c r="J13" s="2"/>
    </row>
    <row r="14" spans="1:12" ht="13" thickBot="1" x14ac:dyDescent="0.3">
      <c r="B14" s="6"/>
      <c r="C14" s="7"/>
      <c r="D14" s="8">
        <v>15000</v>
      </c>
      <c r="E14" s="6"/>
    </row>
    <row r="16" spans="1:12" ht="13.5" thickBot="1" x14ac:dyDescent="0.35">
      <c r="A16" s="29" t="s">
        <v>12</v>
      </c>
    </row>
    <row r="17" spans="1:9" ht="13.5" thickTop="1" thickBot="1" x14ac:dyDescent="0.3">
      <c r="A17" s="17" t="s">
        <v>4</v>
      </c>
      <c r="B17" s="19"/>
      <c r="C17" s="15"/>
      <c r="D17" s="15"/>
      <c r="E17" s="15"/>
    </row>
    <row r="18" spans="1:9" ht="13" thickTop="1" x14ac:dyDescent="0.25">
      <c r="I18" s="5"/>
    </row>
  </sheetData>
  <mergeCells count="1">
    <mergeCell ref="A1:B1"/>
  </mergeCells>
  <phoneticPr fontId="7" type="noConversion"/>
  <printOptions horizontalCentered="1" verticalCentered="1" headings="1" gridLines="1" gridLinesSet="0"/>
  <pageMargins left="0.75" right="0.75" top="1" bottom="1" header="0.5" footer="0.5"/>
  <pageSetup scale="86"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8"/>
  <sheetViews>
    <sheetView tabSelected="1" workbookViewId="0">
      <selection activeCell="G48" sqref="G48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0" max="10" width="26.08984375" bestFit="1" customWidth="1"/>
    <col min="11" max="11" width="20.54296875" bestFit="1" customWidth="1"/>
    <col min="12" max="12" width="9" customWidth="1"/>
    <col min="13" max="13" width="11.54296875" bestFit="1" customWidth="1"/>
  </cols>
  <sheetData>
    <row r="1" spans="1:11" ht="13" x14ac:dyDescent="0.3">
      <c r="A1" s="37" t="s">
        <v>5</v>
      </c>
      <c r="B1" s="37"/>
      <c r="J1" s="36" t="s">
        <v>26</v>
      </c>
      <c r="K1" s="36"/>
    </row>
    <row r="2" spans="1:11" x14ac:dyDescent="0.25">
      <c r="J2" s="5" t="s">
        <v>13</v>
      </c>
      <c r="K2" s="5" t="s">
        <v>14</v>
      </c>
    </row>
    <row r="3" spans="1:11" ht="13" x14ac:dyDescent="0.3">
      <c r="A3" s="27" t="s">
        <v>6</v>
      </c>
      <c r="B3" s="28"/>
      <c r="J3" s="5" t="s">
        <v>2</v>
      </c>
      <c r="K3" s="5" t="s">
        <v>15</v>
      </c>
    </row>
    <row r="4" spans="1:11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J4" s="5" t="s">
        <v>16</v>
      </c>
      <c r="K4" s="5" t="s">
        <v>17</v>
      </c>
    </row>
    <row r="5" spans="1:11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J5" s="5" t="s">
        <v>18</v>
      </c>
      <c r="K5" s="5" t="s">
        <v>19</v>
      </c>
    </row>
    <row r="6" spans="1:11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J6" s="5" t="s">
        <v>1</v>
      </c>
      <c r="K6" s="5" t="s">
        <v>20</v>
      </c>
    </row>
    <row r="7" spans="1:11" x14ac:dyDescent="0.25">
      <c r="A7" t="s">
        <v>9</v>
      </c>
      <c r="B7" s="18">
        <f t="shared" ref="B7:H7" si="0" xml:space="preserve"> B6/B5</f>
        <v>3.2</v>
      </c>
      <c r="C7" s="18">
        <f t="shared" si="0"/>
        <v>3.2</v>
      </c>
      <c r="D7" s="18">
        <f t="shared" si="0"/>
        <v>2.8571428571428572</v>
      </c>
      <c r="E7" s="18">
        <f t="shared" si="0"/>
        <v>3.25</v>
      </c>
      <c r="F7" s="18">
        <f t="shared" si="0"/>
        <v>3.1428571428571428</v>
      </c>
      <c r="G7" s="18">
        <f t="shared" si="0"/>
        <v>2.6666666666666665</v>
      </c>
      <c r="H7" s="18">
        <f t="shared" si="0"/>
        <v>2.5</v>
      </c>
      <c r="J7" s="5" t="s">
        <v>21</v>
      </c>
      <c r="K7" s="5" t="s">
        <v>22</v>
      </c>
    </row>
    <row r="8" spans="1:11" x14ac:dyDescent="0.25">
      <c r="J8" s="5" t="s">
        <v>23</v>
      </c>
      <c r="K8" s="5" t="s">
        <v>24</v>
      </c>
    </row>
    <row r="9" spans="1:11" ht="13.5" thickBot="1" x14ac:dyDescent="0.35">
      <c r="A9" s="27" t="s">
        <v>10</v>
      </c>
      <c r="B9" s="28"/>
    </row>
    <row r="10" spans="1:11" ht="13.5" thickTop="1" thickBot="1" x14ac:dyDescent="0.3">
      <c r="A10" s="20" t="s">
        <v>7</v>
      </c>
      <c r="B10" s="23">
        <v>1</v>
      </c>
      <c r="C10" s="24">
        <v>1</v>
      </c>
      <c r="D10" s="24">
        <v>0</v>
      </c>
      <c r="E10" s="24">
        <v>1</v>
      </c>
      <c r="F10" s="24">
        <v>0</v>
      </c>
      <c r="G10" s="24">
        <v>0</v>
      </c>
      <c r="H10" s="25">
        <v>0</v>
      </c>
    </row>
    <row r="11" spans="1:11" ht="13" thickTop="1" x14ac:dyDescent="0.25">
      <c r="B11" s="1"/>
      <c r="C11" s="1"/>
      <c r="D11" s="1"/>
      <c r="E11" s="1"/>
      <c r="F11" s="1"/>
      <c r="G11" s="1"/>
      <c r="H11" s="1"/>
      <c r="I11" s="2"/>
    </row>
    <row r="12" spans="1:11" ht="13" x14ac:dyDescent="0.3">
      <c r="A12" s="27" t="s">
        <v>8</v>
      </c>
      <c r="B12" s="1"/>
      <c r="C12" s="1"/>
      <c r="D12" s="1"/>
      <c r="E12" s="1"/>
      <c r="F12" s="1"/>
      <c r="G12" s="1"/>
      <c r="H12" s="1"/>
      <c r="I12" s="2"/>
    </row>
    <row r="13" spans="1:11" ht="13" thickBot="1" x14ac:dyDescent="0.3">
      <c r="B13" s="31" t="s">
        <v>11</v>
      </c>
      <c r="C13" s="3"/>
      <c r="D13" s="31" t="s">
        <v>2</v>
      </c>
      <c r="E13" s="3"/>
      <c r="H13" s="1"/>
      <c r="I13" s="2"/>
    </row>
    <row r="14" spans="1:11" ht="13" thickBot="1" x14ac:dyDescent="0.3">
      <c r="B14" s="6">
        <f>SUMPRODUCT(Investment_cost, Investment_levels)</f>
        <v>13500</v>
      </c>
      <c r="C14" s="21" t="s">
        <v>25</v>
      </c>
      <c r="D14" s="8">
        <v>15000</v>
      </c>
      <c r="E14" s="6"/>
    </row>
    <row r="16" spans="1:11" ht="13.5" thickBot="1" x14ac:dyDescent="0.35">
      <c r="A16" s="27" t="s">
        <v>12</v>
      </c>
    </row>
    <row r="17" spans="1:9" ht="13.5" thickTop="1" thickBot="1" x14ac:dyDescent="0.3">
      <c r="A17" s="22" t="s">
        <v>4</v>
      </c>
      <c r="B17" s="19">
        <f>SUMPRODUCT(NPV, Investment_levels)</f>
        <v>43500</v>
      </c>
      <c r="C17" s="15"/>
      <c r="D17" s="15"/>
      <c r="E17" s="15"/>
    </row>
    <row r="18" spans="1:9" ht="13" thickTop="1" x14ac:dyDescent="0.25">
      <c r="I18" s="5"/>
    </row>
  </sheetData>
  <mergeCells count="2">
    <mergeCell ref="J1:K1"/>
    <mergeCell ref="A1:B1"/>
  </mergeCells>
  <phoneticPr fontId="8" type="noConversion"/>
  <conditionalFormatting sqref="B10:H10">
    <cfRule type="cellIs" dxfId="5" priority="1" operator="greaterThan">
      <formula>0.5</formula>
    </cfRule>
  </conditionalFormatting>
  <printOptions horizontalCentered="1" verticalCentered="1" headings="1" gridLines="1" gridLinesSet="0"/>
  <pageMargins left="0.74803149606299213" right="0.74803149606299213" top="0.98425196850393704" bottom="0.98425196850393704" header="0.51181102362204722" footer="0.51181102362204722"/>
  <pageSetup scale="76" orientation="landscape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8"/>
  <sheetViews>
    <sheetView workbookViewId="0">
      <selection activeCell="I47" sqref="I47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0" max="10" width="26.08984375" bestFit="1" customWidth="1"/>
    <col min="11" max="11" width="20.54296875" bestFit="1" customWidth="1"/>
    <col min="12" max="12" width="9" customWidth="1"/>
    <col min="13" max="13" width="11.54296875" bestFit="1" customWidth="1"/>
  </cols>
  <sheetData>
    <row r="1" spans="1:11" ht="13" x14ac:dyDescent="0.3">
      <c r="A1" s="37" t="s">
        <v>5</v>
      </c>
      <c r="B1" s="37"/>
      <c r="J1" s="36" t="s">
        <v>26</v>
      </c>
      <c r="K1" s="36"/>
    </row>
    <row r="2" spans="1:11" x14ac:dyDescent="0.25">
      <c r="J2" s="5" t="s">
        <v>13</v>
      </c>
      <c r="K2" s="5" t="s">
        <v>14</v>
      </c>
    </row>
    <row r="3" spans="1:11" ht="13" x14ac:dyDescent="0.3">
      <c r="A3" s="27" t="s">
        <v>6</v>
      </c>
      <c r="B3" s="28"/>
      <c r="J3" s="5" t="s">
        <v>2</v>
      </c>
      <c r="K3" s="5" t="s">
        <v>15</v>
      </c>
    </row>
    <row r="4" spans="1:11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J4" s="5" t="s">
        <v>16</v>
      </c>
      <c r="K4" s="5" t="s">
        <v>17</v>
      </c>
    </row>
    <row r="5" spans="1:11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J5" s="5" t="s">
        <v>18</v>
      </c>
      <c r="K5" s="5" t="s">
        <v>19</v>
      </c>
    </row>
    <row r="6" spans="1:11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J6" s="5" t="s">
        <v>1</v>
      </c>
      <c r="K6" s="5" t="s">
        <v>20</v>
      </c>
    </row>
    <row r="7" spans="1:11" x14ac:dyDescent="0.25">
      <c r="A7" t="s">
        <v>9</v>
      </c>
      <c r="B7" s="18">
        <f t="shared" ref="B7:H7" si="0" xml:space="preserve"> B6/B5</f>
        <v>3.2</v>
      </c>
      <c r="C7" s="18">
        <f t="shared" si="0"/>
        <v>3.2</v>
      </c>
      <c r="D7" s="18">
        <f t="shared" si="0"/>
        <v>2.8571428571428572</v>
      </c>
      <c r="E7" s="18">
        <f t="shared" si="0"/>
        <v>3.25</v>
      </c>
      <c r="F7" s="18">
        <f t="shared" si="0"/>
        <v>3.1428571428571428</v>
      </c>
      <c r="G7" s="18">
        <f t="shared" si="0"/>
        <v>2.6666666666666665</v>
      </c>
      <c r="H7" s="18">
        <f t="shared" si="0"/>
        <v>2.5</v>
      </c>
      <c r="J7" s="5" t="s">
        <v>21</v>
      </c>
      <c r="K7" s="5" t="s">
        <v>22</v>
      </c>
    </row>
    <row r="8" spans="1:11" x14ac:dyDescent="0.25">
      <c r="J8" s="5" t="s">
        <v>23</v>
      </c>
      <c r="K8" s="5" t="s">
        <v>24</v>
      </c>
    </row>
    <row r="9" spans="1:11" ht="13.5" thickBot="1" x14ac:dyDescent="0.35">
      <c r="A9" s="27" t="s">
        <v>10</v>
      </c>
      <c r="B9" s="28"/>
    </row>
    <row r="10" spans="1:11" ht="13.5" thickTop="1" thickBot="1" x14ac:dyDescent="0.3">
      <c r="A10" s="20" t="s">
        <v>7</v>
      </c>
      <c r="B10" s="23">
        <v>1</v>
      </c>
      <c r="C10" s="24">
        <v>1</v>
      </c>
      <c r="D10" s="24">
        <v>0</v>
      </c>
      <c r="E10" s="24">
        <v>0</v>
      </c>
      <c r="F10" s="24">
        <v>1</v>
      </c>
      <c r="G10" s="24">
        <v>0</v>
      </c>
      <c r="H10" s="25">
        <v>0</v>
      </c>
    </row>
    <row r="11" spans="1:11" ht="13" thickTop="1" x14ac:dyDescent="0.25">
      <c r="B11" s="1"/>
      <c r="C11" s="1"/>
      <c r="D11" s="1"/>
      <c r="E11" s="1"/>
      <c r="F11" s="1"/>
      <c r="G11" s="1"/>
      <c r="H11" s="1"/>
      <c r="I11" s="2"/>
    </row>
    <row r="12" spans="1:11" ht="13" x14ac:dyDescent="0.3">
      <c r="A12" s="27" t="s">
        <v>8</v>
      </c>
      <c r="B12" s="1"/>
      <c r="C12" s="1"/>
      <c r="D12" s="1"/>
      <c r="E12" s="1"/>
      <c r="F12" s="1"/>
      <c r="G12" s="1"/>
      <c r="H12" s="1"/>
      <c r="I12" s="2"/>
    </row>
    <row r="13" spans="1:11" ht="13" thickBot="1" x14ac:dyDescent="0.3">
      <c r="B13" s="31" t="s">
        <v>11</v>
      </c>
      <c r="C13" s="3"/>
      <c r="D13" s="31" t="s">
        <v>2</v>
      </c>
      <c r="E13" s="3"/>
      <c r="H13" s="1"/>
      <c r="I13" s="2"/>
    </row>
    <row r="14" spans="1:11" ht="13" thickBot="1" x14ac:dyDescent="0.3">
      <c r="B14" s="6">
        <f>SUMPRODUCT(Investment_cost, Investment_levels)</f>
        <v>14500</v>
      </c>
      <c r="C14" s="21" t="s">
        <v>25</v>
      </c>
      <c r="D14" s="8">
        <v>15000</v>
      </c>
      <c r="E14" s="6"/>
    </row>
    <row r="16" spans="1:11" ht="13.5" thickBot="1" x14ac:dyDescent="0.35">
      <c r="A16" s="27" t="s">
        <v>12</v>
      </c>
    </row>
    <row r="17" spans="1:9" ht="13.5" thickTop="1" thickBot="1" x14ac:dyDescent="0.3">
      <c r="A17" s="22" t="s">
        <v>4</v>
      </c>
      <c r="B17" s="19">
        <f>SUMPRODUCT(NPV, Investment_levels)</f>
        <v>46000</v>
      </c>
      <c r="C17" s="15"/>
      <c r="D17" s="15"/>
      <c r="E17" s="15"/>
    </row>
    <row r="18" spans="1:9" ht="13" thickTop="1" x14ac:dyDescent="0.25">
      <c r="I18" s="5"/>
    </row>
  </sheetData>
  <mergeCells count="2">
    <mergeCell ref="A1:B1"/>
    <mergeCell ref="J1:K1"/>
  </mergeCells>
  <phoneticPr fontId="8" type="noConversion"/>
  <conditionalFormatting sqref="B10:H10">
    <cfRule type="cellIs" dxfId="4" priority="1" operator="greaterThan">
      <formula>0.5</formula>
    </cfRule>
  </conditionalFormatting>
  <printOptions horizontalCentered="1" verticalCentered="1" headings="1" gridLines="1" gridLinesSet="0"/>
  <pageMargins left="0.74803149606299213" right="0.74803149606299213" top="0.98425196850393704" bottom="0.98425196850393704" header="0.51181102362204722" footer="0.51181102362204722"/>
  <pageSetup scale="76" orientation="landscape" horizontalDpi="300" verticalDpi="3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A336-CF5E-429F-8F21-FAB634E97B3C}">
  <sheetPr>
    <pageSetUpPr fitToPage="1"/>
  </sheetPr>
  <dimension ref="A1:K18"/>
  <sheetViews>
    <sheetView topLeftCell="A6" workbookViewId="0">
      <selection activeCell="J35" sqref="J35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0" max="10" width="26.08984375" bestFit="1" customWidth="1"/>
    <col min="11" max="11" width="20.54296875" bestFit="1" customWidth="1"/>
    <col min="12" max="12" width="9" customWidth="1"/>
    <col min="13" max="13" width="11.54296875" bestFit="1" customWidth="1"/>
  </cols>
  <sheetData>
    <row r="1" spans="1:11" ht="13" x14ac:dyDescent="0.3">
      <c r="A1" s="37" t="s">
        <v>5</v>
      </c>
      <c r="B1" s="37"/>
      <c r="J1" s="36" t="s">
        <v>26</v>
      </c>
      <c r="K1" s="36"/>
    </row>
    <row r="2" spans="1:11" x14ac:dyDescent="0.25">
      <c r="J2" s="5" t="s">
        <v>13</v>
      </c>
      <c r="K2" s="5" t="s">
        <v>14</v>
      </c>
    </row>
    <row r="3" spans="1:11" ht="13" x14ac:dyDescent="0.3">
      <c r="A3" s="27" t="s">
        <v>6</v>
      </c>
      <c r="B3" s="28"/>
      <c r="J3" s="5" t="s">
        <v>2</v>
      </c>
      <c r="K3" s="5" t="s">
        <v>15</v>
      </c>
    </row>
    <row r="4" spans="1:11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J4" s="5" t="s">
        <v>16</v>
      </c>
      <c r="K4" s="5" t="s">
        <v>17</v>
      </c>
    </row>
    <row r="5" spans="1:11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J5" s="5" t="s">
        <v>18</v>
      </c>
      <c r="K5" s="5" t="s">
        <v>19</v>
      </c>
    </row>
    <row r="6" spans="1:11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J6" s="5" t="s">
        <v>1</v>
      </c>
      <c r="K6" s="5" t="s">
        <v>20</v>
      </c>
    </row>
    <row r="7" spans="1:11" x14ac:dyDescent="0.25">
      <c r="A7" t="s">
        <v>9</v>
      </c>
      <c r="B7" s="18">
        <f t="shared" ref="B7:H7" si="0" xml:space="preserve"> B6/B5</f>
        <v>3.2</v>
      </c>
      <c r="C7" s="18">
        <f t="shared" si="0"/>
        <v>3.2</v>
      </c>
      <c r="D7" s="18">
        <f t="shared" si="0"/>
        <v>2.8571428571428572</v>
      </c>
      <c r="E7" s="18">
        <f t="shared" si="0"/>
        <v>3.25</v>
      </c>
      <c r="F7" s="18">
        <f t="shared" si="0"/>
        <v>3.1428571428571428</v>
      </c>
      <c r="G7" s="18">
        <f t="shared" si="0"/>
        <v>2.6666666666666665</v>
      </c>
      <c r="H7" s="18">
        <f t="shared" si="0"/>
        <v>2.5</v>
      </c>
      <c r="J7" s="5" t="s">
        <v>21</v>
      </c>
      <c r="K7" s="5" t="s">
        <v>22</v>
      </c>
    </row>
    <row r="8" spans="1:11" x14ac:dyDescent="0.25">
      <c r="J8" s="5" t="s">
        <v>23</v>
      </c>
      <c r="K8" s="5" t="s">
        <v>24</v>
      </c>
    </row>
    <row r="9" spans="1:11" ht="13.5" thickBot="1" x14ac:dyDescent="0.35">
      <c r="A9" s="27" t="s">
        <v>10</v>
      </c>
      <c r="B9" s="28"/>
    </row>
    <row r="10" spans="1:11" ht="13.5" thickTop="1" thickBot="1" x14ac:dyDescent="0.3">
      <c r="A10" s="20" t="s">
        <v>7</v>
      </c>
      <c r="B10" s="23">
        <v>1</v>
      </c>
      <c r="C10" s="24">
        <v>1</v>
      </c>
      <c r="D10" s="24">
        <v>0</v>
      </c>
      <c r="E10" s="24">
        <v>1</v>
      </c>
      <c r="F10" s="24">
        <v>0</v>
      </c>
      <c r="G10" s="24">
        <v>0</v>
      </c>
      <c r="H10" s="25">
        <v>0</v>
      </c>
    </row>
    <row r="11" spans="1:11" ht="13" thickTop="1" x14ac:dyDescent="0.25">
      <c r="B11" s="1"/>
      <c r="C11" s="1"/>
      <c r="D11" s="1"/>
      <c r="E11" s="1"/>
      <c r="F11" s="1"/>
      <c r="G11" s="1"/>
      <c r="H11" s="1"/>
      <c r="I11" s="2"/>
    </row>
    <row r="12" spans="1:11" ht="13" x14ac:dyDescent="0.3">
      <c r="A12" s="27" t="s">
        <v>8</v>
      </c>
      <c r="B12" s="1"/>
      <c r="C12" s="1"/>
      <c r="D12" s="1"/>
      <c r="E12" s="1"/>
      <c r="F12" s="1"/>
      <c r="G12" s="1"/>
      <c r="H12" s="1"/>
      <c r="I12" s="2"/>
    </row>
    <row r="13" spans="1:11" ht="13" thickBot="1" x14ac:dyDescent="0.3">
      <c r="B13" s="31" t="s">
        <v>11</v>
      </c>
      <c r="C13" s="3"/>
      <c r="D13" s="31" t="s">
        <v>2</v>
      </c>
      <c r="E13" s="3"/>
      <c r="H13" s="1"/>
      <c r="I13" s="2"/>
    </row>
    <row r="14" spans="1:11" ht="13" thickBot="1" x14ac:dyDescent="0.3">
      <c r="B14" s="6">
        <f>SUMPRODUCT(Investment_cost, Investment_levels)</f>
        <v>13500</v>
      </c>
      <c r="C14" s="21" t="s">
        <v>25</v>
      </c>
      <c r="D14" s="8">
        <v>15000</v>
      </c>
      <c r="E14" s="6"/>
    </row>
    <row r="16" spans="1:11" ht="13.5" thickBot="1" x14ac:dyDescent="0.35">
      <c r="A16" s="27" t="s">
        <v>12</v>
      </c>
    </row>
    <row r="17" spans="1:9" ht="13.5" thickTop="1" thickBot="1" x14ac:dyDescent="0.3">
      <c r="A17" s="22" t="s">
        <v>4</v>
      </c>
      <c r="B17" s="19">
        <f>SUMPRODUCT(NPV, Investment_levels)</f>
        <v>43500</v>
      </c>
      <c r="C17" s="15"/>
      <c r="D17" s="15"/>
      <c r="E17" s="15"/>
    </row>
    <row r="18" spans="1:9" ht="13" thickTop="1" x14ac:dyDescent="0.25">
      <c r="I18" s="5"/>
    </row>
  </sheetData>
  <mergeCells count="2">
    <mergeCell ref="A1:B1"/>
    <mergeCell ref="J1:K1"/>
  </mergeCells>
  <phoneticPr fontId="8" type="noConversion"/>
  <conditionalFormatting sqref="B10:H10">
    <cfRule type="cellIs" dxfId="3" priority="1" operator="greaterThan">
      <formula>0.5</formula>
    </cfRule>
  </conditionalFormatting>
  <printOptions horizontalCentered="1" verticalCentered="1" headings="1" gridLines="1" gridLinesSet="0"/>
  <pageMargins left="0.74803149606299213" right="0.74803149606299213" top="0.98425196850393704" bottom="0.98425196850393704" header="0.51181102362204722" footer="0.51181102362204722"/>
  <pageSetup scale="76"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2B13-E1A6-45DF-BF14-439417EBD07F}">
  <sheetPr>
    <pageSetUpPr fitToPage="1"/>
  </sheetPr>
  <dimension ref="A1:K18"/>
  <sheetViews>
    <sheetView workbookViewId="0">
      <selection activeCell="J31" sqref="J31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0" max="10" width="26.08984375" bestFit="1" customWidth="1"/>
    <col min="11" max="11" width="20.54296875" bestFit="1" customWidth="1"/>
    <col min="12" max="12" width="9" customWidth="1"/>
    <col min="13" max="13" width="11.54296875" bestFit="1" customWidth="1"/>
  </cols>
  <sheetData>
    <row r="1" spans="1:11" ht="13" x14ac:dyDescent="0.3">
      <c r="A1" s="37" t="s">
        <v>5</v>
      </c>
      <c r="B1" s="37"/>
      <c r="J1" s="36" t="s">
        <v>26</v>
      </c>
      <c r="K1" s="36"/>
    </row>
    <row r="2" spans="1:11" x14ac:dyDescent="0.25">
      <c r="J2" s="5" t="s">
        <v>13</v>
      </c>
      <c r="K2" s="5" t="s">
        <v>14</v>
      </c>
    </row>
    <row r="3" spans="1:11" ht="13" x14ac:dyDescent="0.3">
      <c r="A3" s="27" t="s">
        <v>6</v>
      </c>
      <c r="B3" s="28"/>
      <c r="J3" s="5" t="s">
        <v>2</v>
      </c>
      <c r="K3" s="5" t="s">
        <v>15</v>
      </c>
    </row>
    <row r="4" spans="1:11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J4" s="5" t="s">
        <v>16</v>
      </c>
      <c r="K4" s="5" t="s">
        <v>17</v>
      </c>
    </row>
    <row r="5" spans="1:11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J5" s="5" t="s">
        <v>18</v>
      </c>
      <c r="K5" s="5" t="s">
        <v>19</v>
      </c>
    </row>
    <row r="6" spans="1:11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J6" s="5" t="s">
        <v>1</v>
      </c>
      <c r="K6" s="5" t="s">
        <v>20</v>
      </c>
    </row>
    <row r="7" spans="1:11" x14ac:dyDescent="0.25">
      <c r="A7" t="s">
        <v>9</v>
      </c>
      <c r="B7" s="18">
        <f t="shared" ref="B7:H7" si="0" xml:space="preserve"> B6/B5</f>
        <v>3.2</v>
      </c>
      <c r="C7" s="18">
        <f t="shared" si="0"/>
        <v>3.2</v>
      </c>
      <c r="D7" s="18">
        <f t="shared" si="0"/>
        <v>2.8571428571428572</v>
      </c>
      <c r="E7" s="18">
        <f t="shared" si="0"/>
        <v>3.25</v>
      </c>
      <c r="F7" s="18">
        <f t="shared" si="0"/>
        <v>3.1428571428571428</v>
      </c>
      <c r="G7" s="18">
        <f t="shared" si="0"/>
        <v>2.6666666666666665</v>
      </c>
      <c r="H7" s="18">
        <f t="shared" si="0"/>
        <v>2.5</v>
      </c>
      <c r="J7" s="5" t="s">
        <v>21</v>
      </c>
      <c r="K7" s="5" t="s">
        <v>22</v>
      </c>
    </row>
    <row r="8" spans="1:11" x14ac:dyDescent="0.25">
      <c r="J8" s="5" t="s">
        <v>23</v>
      </c>
      <c r="K8" s="5" t="s">
        <v>24</v>
      </c>
    </row>
    <row r="9" spans="1:11" ht="13.5" thickBot="1" x14ac:dyDescent="0.35">
      <c r="A9" s="27" t="s">
        <v>10</v>
      </c>
      <c r="B9" s="28"/>
    </row>
    <row r="10" spans="1:11" ht="13.5" thickTop="1" thickBot="1" x14ac:dyDescent="0.3">
      <c r="A10" s="20" t="s">
        <v>7</v>
      </c>
      <c r="B10" s="23">
        <v>1</v>
      </c>
      <c r="C10" s="24">
        <v>1</v>
      </c>
      <c r="D10" s="24">
        <v>0</v>
      </c>
      <c r="E10" s="24">
        <v>1</v>
      </c>
      <c r="F10" s="33">
        <v>0.21428571428571441</v>
      </c>
      <c r="G10" s="24">
        <v>0</v>
      </c>
      <c r="H10" s="25">
        <v>0</v>
      </c>
    </row>
    <row r="11" spans="1:11" ht="13" thickTop="1" x14ac:dyDescent="0.25">
      <c r="B11" s="1"/>
      <c r="C11" s="1"/>
      <c r="D11" s="1"/>
      <c r="E11" s="1"/>
      <c r="F11" s="1"/>
      <c r="G11" s="1"/>
      <c r="H11" s="1"/>
      <c r="I11" s="2"/>
    </row>
    <row r="12" spans="1:11" ht="13" x14ac:dyDescent="0.3">
      <c r="A12" s="27" t="s">
        <v>8</v>
      </c>
      <c r="B12" s="1"/>
      <c r="C12" s="1"/>
      <c r="D12" s="1"/>
      <c r="E12" s="1"/>
      <c r="F12" s="1"/>
      <c r="G12" s="1"/>
      <c r="H12" s="1"/>
      <c r="I12" s="2"/>
    </row>
    <row r="13" spans="1:11" ht="13" thickBot="1" x14ac:dyDescent="0.3">
      <c r="B13" s="31" t="s">
        <v>11</v>
      </c>
      <c r="C13" s="3"/>
      <c r="D13" s="31" t="s">
        <v>2</v>
      </c>
      <c r="E13" s="3"/>
      <c r="H13" s="1"/>
      <c r="I13" s="2"/>
    </row>
    <row r="14" spans="1:11" ht="13" thickBot="1" x14ac:dyDescent="0.3">
      <c r="B14" s="34">
        <f>SUMPRODUCT(Investment_cost, Investment_levels)</f>
        <v>15000</v>
      </c>
      <c r="C14" s="21" t="s">
        <v>25</v>
      </c>
      <c r="D14" s="8">
        <v>15000</v>
      </c>
      <c r="E14" s="6"/>
    </row>
    <row r="16" spans="1:11" ht="13.5" thickBot="1" x14ac:dyDescent="0.35">
      <c r="A16" s="27" t="s">
        <v>12</v>
      </c>
    </row>
    <row r="17" spans="1:9" ht="13.5" thickTop="1" thickBot="1" x14ac:dyDescent="0.3">
      <c r="A17" s="22" t="s">
        <v>4</v>
      </c>
      <c r="B17" s="19">
        <f>SUMPRODUCT(NPV, Investment_levels)</f>
        <v>48214.285714285717</v>
      </c>
      <c r="C17" s="15"/>
      <c r="D17" s="15"/>
      <c r="E17" s="15"/>
    </row>
    <row r="18" spans="1:9" ht="13" thickTop="1" x14ac:dyDescent="0.25">
      <c r="I18" s="5"/>
    </row>
  </sheetData>
  <mergeCells count="2">
    <mergeCell ref="A1:B1"/>
    <mergeCell ref="J1:K1"/>
  </mergeCells>
  <phoneticPr fontId="8" type="noConversion"/>
  <conditionalFormatting sqref="B10:H10">
    <cfRule type="cellIs" dxfId="2" priority="1" operator="greaterThan">
      <formula>0.5</formula>
    </cfRule>
  </conditionalFormatting>
  <printOptions horizontalCentered="1" verticalCentered="1" headings="1" gridLines="1" gridLinesSet="0"/>
  <pageMargins left="0.74803149606299213" right="0.74803149606299213" top="0.98425196850393704" bottom="0.98425196850393704" header="0.51181102362204722" footer="0.51181102362204722"/>
  <pageSetup scale="76" orientation="landscape" horizontalDpi="300" verticalDpi="300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3"/>
  <sheetViews>
    <sheetView workbookViewId="0">
      <selection activeCell="K33" sqref="K33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0" max="10" width="26.08984375" bestFit="1" customWidth="1"/>
    <col min="11" max="11" width="31.90625" bestFit="1" customWidth="1"/>
    <col min="12" max="12" width="9" customWidth="1"/>
    <col min="13" max="13" width="11.54296875" bestFit="1" customWidth="1"/>
  </cols>
  <sheetData>
    <row r="1" spans="1:11" ht="13" x14ac:dyDescent="0.3">
      <c r="A1" s="37" t="s">
        <v>5</v>
      </c>
      <c r="B1" s="37"/>
      <c r="J1" s="36" t="s">
        <v>26</v>
      </c>
      <c r="K1" s="36"/>
    </row>
    <row r="2" spans="1:11" x14ac:dyDescent="0.25">
      <c r="J2" t="s">
        <v>13</v>
      </c>
      <c r="K2" t="s">
        <v>31</v>
      </c>
    </row>
    <row r="3" spans="1:11" ht="13" x14ac:dyDescent="0.3">
      <c r="A3" s="27" t="s">
        <v>6</v>
      </c>
      <c r="B3" s="28"/>
      <c r="J3" t="s">
        <v>2</v>
      </c>
      <c r="K3" t="s">
        <v>32</v>
      </c>
    </row>
    <row r="4" spans="1:11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J4" t="s">
        <v>16</v>
      </c>
      <c r="K4" t="s">
        <v>33</v>
      </c>
    </row>
    <row r="5" spans="1:11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J5" t="s">
        <v>18</v>
      </c>
      <c r="K5" t="s">
        <v>34</v>
      </c>
    </row>
    <row r="6" spans="1:11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J6" t="s">
        <v>1</v>
      </c>
      <c r="K6" t="s">
        <v>35</v>
      </c>
    </row>
    <row r="7" spans="1:11" x14ac:dyDescent="0.25">
      <c r="A7" t="s">
        <v>9</v>
      </c>
      <c r="B7" s="18">
        <f t="shared" ref="B7:H7" si="0" xml:space="preserve"> B6/B5</f>
        <v>3.2</v>
      </c>
      <c r="C7" s="18">
        <f t="shared" si="0"/>
        <v>3.2</v>
      </c>
      <c r="D7" s="18">
        <f t="shared" si="0"/>
        <v>2.8571428571428572</v>
      </c>
      <c r="E7" s="18">
        <f t="shared" si="0"/>
        <v>3.25</v>
      </c>
      <c r="F7" s="18">
        <f t="shared" si="0"/>
        <v>3.1428571428571428</v>
      </c>
      <c r="G7" s="18">
        <f t="shared" si="0"/>
        <v>2.6666666666666665</v>
      </c>
      <c r="H7" s="18">
        <f t="shared" si="0"/>
        <v>2.5</v>
      </c>
      <c r="J7" t="s">
        <v>21</v>
      </c>
      <c r="K7" t="s">
        <v>36</v>
      </c>
    </row>
    <row r="8" spans="1:11" x14ac:dyDescent="0.25">
      <c r="J8" t="s">
        <v>37</v>
      </c>
      <c r="K8" t="s">
        <v>38</v>
      </c>
    </row>
    <row r="9" spans="1:11" ht="13.5" thickBot="1" x14ac:dyDescent="0.35">
      <c r="A9" s="27" t="s">
        <v>10</v>
      </c>
      <c r="B9" s="28"/>
      <c r="J9" t="s">
        <v>39</v>
      </c>
      <c r="K9" t="s">
        <v>40</v>
      </c>
    </row>
    <row r="10" spans="1:11" ht="13.5" thickTop="1" thickBot="1" x14ac:dyDescent="0.3">
      <c r="A10" s="20" t="s">
        <v>7</v>
      </c>
      <c r="B10" s="23">
        <v>1</v>
      </c>
      <c r="C10" s="24">
        <v>1</v>
      </c>
      <c r="D10" s="24">
        <v>0</v>
      </c>
      <c r="E10" s="24">
        <v>1</v>
      </c>
      <c r="F10" s="24">
        <v>0</v>
      </c>
      <c r="G10" s="24">
        <v>0</v>
      </c>
      <c r="H10" s="25">
        <v>0</v>
      </c>
      <c r="J10" t="s">
        <v>41</v>
      </c>
      <c r="K10" t="s">
        <v>42</v>
      </c>
    </row>
    <row r="11" spans="1:11" ht="13" thickTop="1" x14ac:dyDescent="0.25">
      <c r="B11" s="1"/>
      <c r="C11" s="1"/>
      <c r="D11" s="1"/>
      <c r="E11" s="1"/>
      <c r="F11" s="1"/>
      <c r="G11" s="1"/>
      <c r="H11" s="1"/>
      <c r="I11" s="2"/>
      <c r="J11" t="s">
        <v>23</v>
      </c>
      <c r="K11" t="s">
        <v>43</v>
      </c>
    </row>
    <row r="12" spans="1:11" ht="13" x14ac:dyDescent="0.3">
      <c r="A12" s="27" t="s">
        <v>8</v>
      </c>
      <c r="B12" s="1"/>
      <c r="C12" s="1"/>
      <c r="D12" s="1"/>
      <c r="E12" s="1"/>
      <c r="F12" s="1"/>
      <c r="G12" s="1"/>
      <c r="H12" s="1"/>
      <c r="I12" s="2"/>
      <c r="J12" t="s">
        <v>44</v>
      </c>
      <c r="K12" t="s">
        <v>45</v>
      </c>
    </row>
    <row r="13" spans="1:11" ht="13" thickBot="1" x14ac:dyDescent="0.3">
      <c r="B13" s="31" t="s">
        <v>11</v>
      </c>
      <c r="C13" s="31"/>
      <c r="D13" s="31" t="s">
        <v>2</v>
      </c>
      <c r="E13" s="3"/>
      <c r="F13" s="2"/>
      <c r="H13" s="1"/>
      <c r="I13" s="2"/>
    </row>
    <row r="14" spans="1:11" ht="13" thickBot="1" x14ac:dyDescent="0.3">
      <c r="B14" s="6">
        <f>SUMPRODUCT(Investment_cost, Investment_levels)</f>
        <v>13500</v>
      </c>
      <c r="C14" s="21"/>
      <c r="D14" s="8">
        <v>15000</v>
      </c>
      <c r="E14" s="6"/>
    </row>
    <row r="15" spans="1:11" x14ac:dyDescent="0.25">
      <c r="B15" s="6"/>
      <c r="C15" s="21"/>
      <c r="D15" s="21" t="s">
        <v>46</v>
      </c>
      <c r="E15" s="6"/>
    </row>
    <row r="16" spans="1:11" ht="13" thickBot="1" x14ac:dyDescent="0.3">
      <c r="B16" t="s">
        <v>28</v>
      </c>
      <c r="D16" t="s">
        <v>30</v>
      </c>
    </row>
    <row r="17" spans="1:9" ht="13.5" thickTop="1" thickBot="1" x14ac:dyDescent="0.3">
      <c r="B17" s="32">
        <v>1000</v>
      </c>
      <c r="D17" s="6">
        <f xml:space="preserve"> Amount_invested + Remaining</f>
        <v>14500</v>
      </c>
      <c r="F17" s="6"/>
    </row>
    <row r="18" spans="1:9" ht="13" thickTop="1" x14ac:dyDescent="0.25"/>
    <row r="19" spans="1:9" ht="13" x14ac:dyDescent="0.3">
      <c r="A19" s="27" t="s">
        <v>12</v>
      </c>
    </row>
    <row r="20" spans="1:9" x14ac:dyDescent="0.25">
      <c r="A20" s="22" t="s">
        <v>4</v>
      </c>
      <c r="B20" s="6">
        <f>SUMPRODUCT(NPV, Investment_levels)</f>
        <v>43500</v>
      </c>
      <c r="C20" s="15"/>
      <c r="D20" s="15"/>
      <c r="E20" s="15"/>
    </row>
    <row r="21" spans="1:9" ht="13" thickBot="1" x14ac:dyDescent="0.3">
      <c r="A21" s="30" t="s">
        <v>29</v>
      </c>
      <c r="B21" s="15">
        <f xml:space="preserve"> Remaining</f>
        <v>1000</v>
      </c>
      <c r="C21" s="15"/>
      <c r="D21" s="15"/>
      <c r="E21" s="15"/>
    </row>
    <row r="22" spans="1:9" ht="13.5" thickTop="1" thickBot="1" x14ac:dyDescent="0.3">
      <c r="A22" t="s">
        <v>27</v>
      </c>
      <c r="B22" s="19">
        <f xml:space="preserve"> Total_NPV + Remaining</f>
        <v>44500</v>
      </c>
      <c r="I22" s="5"/>
    </row>
    <row r="23" spans="1:9" ht="13" thickTop="1" x14ac:dyDescent="0.25">
      <c r="I23" s="5"/>
    </row>
  </sheetData>
  <mergeCells count="2">
    <mergeCell ref="A1:B1"/>
    <mergeCell ref="J1:K1"/>
  </mergeCells>
  <phoneticPr fontId="8" type="noConversion"/>
  <conditionalFormatting sqref="B10:H10">
    <cfRule type="cellIs" dxfId="1" priority="1" operator="greaterThan">
      <formula>0.5</formula>
    </cfRule>
  </conditionalFormatting>
  <printOptions horizontalCentered="1" verticalCentered="1" headings="1" gridLines="1" gridLinesSet="0"/>
  <pageMargins left="0.74803149606299213" right="0.74803149606299213" top="0.98425196850393704" bottom="0.98425196850393704" header="0.51181102362204722" footer="0.51181102362204722"/>
  <pageSetup scale="76" orientation="landscape" horizontalDpi="300" verticalDpi="300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workbookViewId="0">
      <selection activeCell="I45" sqref="I45"/>
    </sheetView>
  </sheetViews>
  <sheetFormatPr defaultRowHeight="12.5" x14ac:dyDescent="0.25"/>
  <cols>
    <col min="1" max="1" width="24.08984375" customWidth="1"/>
    <col min="2" max="2" width="15" bestFit="1" customWidth="1"/>
    <col min="3" max="3" width="11.36328125" customWidth="1"/>
    <col min="4" max="4" width="10.08984375" customWidth="1"/>
    <col min="5" max="5" width="10" customWidth="1"/>
    <col min="6" max="6" width="12.36328125" bestFit="1" customWidth="1"/>
    <col min="9" max="9" width="11.54296875" customWidth="1"/>
    <col min="10" max="10" width="26.08984375" bestFit="1" customWidth="1"/>
    <col min="11" max="11" width="31.90625" bestFit="1" customWidth="1"/>
    <col min="12" max="12" width="9" customWidth="1"/>
    <col min="13" max="13" width="11.54296875" bestFit="1" customWidth="1"/>
  </cols>
  <sheetData>
    <row r="1" spans="1:11" ht="13" x14ac:dyDescent="0.3">
      <c r="A1" s="37" t="s">
        <v>5</v>
      </c>
      <c r="B1" s="37"/>
      <c r="J1" s="36" t="s">
        <v>26</v>
      </c>
      <c r="K1" s="36"/>
    </row>
    <row r="2" spans="1:11" x14ac:dyDescent="0.25">
      <c r="J2" t="s">
        <v>13</v>
      </c>
      <c r="K2" t="s">
        <v>31</v>
      </c>
    </row>
    <row r="3" spans="1:11" ht="13" x14ac:dyDescent="0.3">
      <c r="A3" s="27" t="s">
        <v>6</v>
      </c>
      <c r="B3" s="28"/>
      <c r="J3" t="s">
        <v>2</v>
      </c>
      <c r="K3" t="s">
        <v>32</v>
      </c>
    </row>
    <row r="4" spans="1:11" ht="13" thickBot="1" x14ac:dyDescent="0.3">
      <c r="A4" t="s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J4" t="s">
        <v>16</v>
      </c>
      <c r="K4" t="s">
        <v>33</v>
      </c>
    </row>
    <row r="5" spans="1:11" x14ac:dyDescent="0.25">
      <c r="A5" t="s">
        <v>3</v>
      </c>
      <c r="B5" s="9">
        <v>5000</v>
      </c>
      <c r="C5" s="10">
        <v>2500</v>
      </c>
      <c r="D5" s="10">
        <v>3500</v>
      </c>
      <c r="E5" s="10">
        <v>6000</v>
      </c>
      <c r="F5" s="10">
        <v>7000</v>
      </c>
      <c r="G5" s="10">
        <v>4500</v>
      </c>
      <c r="H5" s="11">
        <v>3000</v>
      </c>
      <c r="J5" t="s">
        <v>18</v>
      </c>
      <c r="K5" t="s">
        <v>34</v>
      </c>
    </row>
    <row r="6" spans="1:11" ht="13" thickBot="1" x14ac:dyDescent="0.3">
      <c r="A6" t="s">
        <v>1</v>
      </c>
      <c r="B6" s="12">
        <v>16000</v>
      </c>
      <c r="C6" s="13">
        <v>8000</v>
      </c>
      <c r="D6" s="13">
        <v>10000</v>
      </c>
      <c r="E6" s="13">
        <v>19500</v>
      </c>
      <c r="F6" s="13">
        <v>22000</v>
      </c>
      <c r="G6" s="13">
        <v>12000</v>
      </c>
      <c r="H6" s="14">
        <v>7500</v>
      </c>
      <c r="J6" t="s">
        <v>1</v>
      </c>
      <c r="K6" t="s">
        <v>35</v>
      </c>
    </row>
    <row r="7" spans="1:11" x14ac:dyDescent="0.25">
      <c r="A7" t="s">
        <v>9</v>
      </c>
      <c r="B7" s="18">
        <f t="shared" ref="B7:H7" si="0" xml:space="preserve"> B6/B5</f>
        <v>3.2</v>
      </c>
      <c r="C7" s="18">
        <f t="shared" si="0"/>
        <v>3.2</v>
      </c>
      <c r="D7" s="18">
        <f t="shared" si="0"/>
        <v>2.8571428571428572</v>
      </c>
      <c r="E7" s="18">
        <f t="shared" si="0"/>
        <v>3.25</v>
      </c>
      <c r="F7" s="18">
        <f t="shared" si="0"/>
        <v>3.1428571428571428</v>
      </c>
      <c r="G7" s="18">
        <f t="shared" si="0"/>
        <v>2.6666666666666665</v>
      </c>
      <c r="H7" s="18">
        <f t="shared" si="0"/>
        <v>2.5</v>
      </c>
      <c r="J7" t="s">
        <v>21</v>
      </c>
      <c r="K7" t="s">
        <v>36</v>
      </c>
    </row>
    <row r="8" spans="1:11" x14ac:dyDescent="0.25">
      <c r="J8" t="s">
        <v>37</v>
      </c>
      <c r="K8" t="s">
        <v>38</v>
      </c>
    </row>
    <row r="9" spans="1:11" ht="13.5" thickBot="1" x14ac:dyDescent="0.35">
      <c r="A9" s="27" t="s">
        <v>10</v>
      </c>
      <c r="B9" s="28"/>
      <c r="J9" t="s">
        <v>39</v>
      </c>
      <c r="K9" t="s">
        <v>40</v>
      </c>
    </row>
    <row r="10" spans="1:11" ht="13.5" thickTop="1" thickBot="1" x14ac:dyDescent="0.3">
      <c r="A10" s="20" t="s">
        <v>7</v>
      </c>
      <c r="B10" s="23">
        <v>1</v>
      </c>
      <c r="C10" s="24">
        <v>1</v>
      </c>
      <c r="D10" s="24">
        <v>0</v>
      </c>
      <c r="E10" s="24">
        <v>0</v>
      </c>
      <c r="F10" s="24">
        <v>1</v>
      </c>
      <c r="G10" s="24">
        <v>0</v>
      </c>
      <c r="H10" s="25">
        <v>0</v>
      </c>
      <c r="J10" t="s">
        <v>41</v>
      </c>
      <c r="K10" t="s">
        <v>42</v>
      </c>
    </row>
    <row r="11" spans="1:11" ht="13" thickTop="1" x14ac:dyDescent="0.25">
      <c r="B11" s="1"/>
      <c r="C11" s="1"/>
      <c r="D11" s="1"/>
      <c r="E11" s="1"/>
      <c r="F11" s="1"/>
      <c r="G11" s="1"/>
      <c r="H11" s="1"/>
      <c r="I11" s="2"/>
      <c r="J11" t="s">
        <v>23</v>
      </c>
      <c r="K11" t="s">
        <v>43</v>
      </c>
    </row>
    <row r="12" spans="1:11" ht="13" x14ac:dyDescent="0.3">
      <c r="A12" s="27" t="s">
        <v>8</v>
      </c>
      <c r="B12" s="1"/>
      <c r="C12" s="1"/>
      <c r="D12" s="1"/>
      <c r="E12" s="1"/>
      <c r="F12" s="1"/>
      <c r="G12" s="1"/>
      <c r="H12" s="1"/>
      <c r="I12" s="2"/>
      <c r="J12" t="s">
        <v>44</v>
      </c>
      <c r="K12" t="s">
        <v>45</v>
      </c>
    </row>
    <row r="13" spans="1:11" ht="13" thickBot="1" x14ac:dyDescent="0.3">
      <c r="B13" s="31" t="s">
        <v>11</v>
      </c>
      <c r="C13" s="31"/>
      <c r="D13" s="31" t="s">
        <v>2</v>
      </c>
      <c r="E13" s="3"/>
      <c r="F13" s="2"/>
      <c r="H13" s="1"/>
      <c r="I13" s="2"/>
    </row>
    <row r="14" spans="1:11" ht="13" thickBot="1" x14ac:dyDescent="0.3">
      <c r="B14" s="6">
        <f>SUMPRODUCT(Investment_cost, Investment_levels)</f>
        <v>14500</v>
      </c>
      <c r="C14" s="21"/>
      <c r="D14" s="8">
        <v>15000</v>
      </c>
      <c r="E14" s="6"/>
    </row>
    <row r="15" spans="1:11" x14ac:dyDescent="0.25">
      <c r="B15" s="6"/>
      <c r="C15" s="21"/>
      <c r="D15" s="21" t="s">
        <v>46</v>
      </c>
      <c r="E15" s="6"/>
    </row>
    <row r="16" spans="1:11" ht="13" thickBot="1" x14ac:dyDescent="0.3">
      <c r="B16" t="s">
        <v>28</v>
      </c>
      <c r="D16" t="s">
        <v>30</v>
      </c>
    </row>
    <row r="17" spans="1:9" ht="13.5" thickTop="1" thickBot="1" x14ac:dyDescent="0.3">
      <c r="B17" s="32">
        <v>499.99999999999983</v>
      </c>
      <c r="D17" s="6">
        <f xml:space="preserve"> Amount_invested + Remaining</f>
        <v>15000</v>
      </c>
      <c r="F17" s="6"/>
    </row>
    <row r="18" spans="1:9" ht="13" thickTop="1" x14ac:dyDescent="0.25"/>
    <row r="19" spans="1:9" ht="13" x14ac:dyDescent="0.3">
      <c r="A19" s="27" t="s">
        <v>12</v>
      </c>
    </row>
    <row r="20" spans="1:9" x14ac:dyDescent="0.25">
      <c r="A20" s="22" t="s">
        <v>4</v>
      </c>
      <c r="B20" s="6">
        <f>SUMPRODUCT(NPV, Investment_levels)</f>
        <v>46000</v>
      </c>
      <c r="C20" s="15"/>
      <c r="D20" s="15"/>
      <c r="E20" s="15"/>
    </row>
    <row r="21" spans="1:9" ht="13" thickBot="1" x14ac:dyDescent="0.3">
      <c r="A21" s="30" t="s">
        <v>29</v>
      </c>
      <c r="B21" s="15">
        <f xml:space="preserve"> Remaining</f>
        <v>499.99999999999983</v>
      </c>
      <c r="C21" s="15"/>
      <c r="D21" s="15"/>
      <c r="E21" s="15"/>
    </row>
    <row r="22" spans="1:9" ht="13.5" thickTop="1" thickBot="1" x14ac:dyDescent="0.3">
      <c r="A22" t="s">
        <v>27</v>
      </c>
      <c r="B22" s="19">
        <f xml:space="preserve"> Total_NPV + Remaining</f>
        <v>46500</v>
      </c>
      <c r="I22" s="5"/>
    </row>
    <row r="23" spans="1:9" ht="13" thickTop="1" x14ac:dyDescent="0.25">
      <c r="I23" s="5"/>
    </row>
  </sheetData>
  <mergeCells count="2">
    <mergeCell ref="A1:B1"/>
    <mergeCell ref="J1:K1"/>
  </mergeCells>
  <phoneticPr fontId="8" type="noConversion"/>
  <conditionalFormatting sqref="B10:H10">
    <cfRule type="cellIs" dxfId="0" priority="1" operator="greaterThan">
      <formula>0.5</formula>
    </cfRule>
  </conditionalFormatting>
  <printOptions horizontalCentered="1" verticalCentered="1" headings="1" gridLines="1" gridLinesSet="0"/>
  <pageMargins left="0.74803149606299213" right="0.74803149606299213" top="0.98425196850393704" bottom="0.98425196850393704" header="0.51181102362204722" footer="0.51181102362204722"/>
  <pageSetup scale="76" orientation="landscape" horizontalDpi="300" verticalDpi="300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"/>
  <sheetViews>
    <sheetView workbookViewId="0"/>
  </sheetViews>
  <sheetFormatPr defaultRowHeight="12.5" x14ac:dyDescent="0.25"/>
  <sheetData/>
  <phoneticPr fontId="7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"/>
  <sheetViews>
    <sheetView workbookViewId="0"/>
  </sheetViews>
  <sheetFormatPr defaultRowHeight="12.5" x14ac:dyDescent="0.2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50</vt:i4>
      </vt:variant>
    </vt:vector>
  </HeadingPairs>
  <TitlesOfParts>
    <vt:vector size="58" baseType="lpstr">
      <vt:lpstr>Exercise</vt:lpstr>
      <vt:lpstr>Data</vt:lpstr>
      <vt:lpstr>Model</vt:lpstr>
      <vt:lpstr>Solution</vt:lpstr>
      <vt:lpstr>Model (relaxation)</vt:lpstr>
      <vt:lpstr>Solution (relaxation)</vt:lpstr>
      <vt:lpstr>Model (remaining) </vt:lpstr>
      <vt:lpstr>Solution (remaining)</vt:lpstr>
      <vt:lpstr>'Model (relaxation)'!Amount_invested</vt:lpstr>
      <vt:lpstr>'Model (remaining) '!Amount_invested</vt:lpstr>
      <vt:lpstr>Solution!Amount_invested</vt:lpstr>
      <vt:lpstr>'Solution (relaxation)'!Amount_invested</vt:lpstr>
      <vt:lpstr>'Solution (remaining)'!Amount_invested</vt:lpstr>
      <vt:lpstr>Amount_invested</vt:lpstr>
      <vt:lpstr>'Model (relaxation)'!Budget</vt:lpstr>
      <vt:lpstr>'Model (remaining) '!Budget</vt:lpstr>
      <vt:lpstr>Solution!Budget</vt:lpstr>
      <vt:lpstr>'Solution (relaxation)'!Budget</vt:lpstr>
      <vt:lpstr>'Solution (remaining)'!Budget</vt:lpstr>
      <vt:lpstr>Budget</vt:lpstr>
      <vt:lpstr>'Model (relaxation)'!Investment_cost</vt:lpstr>
      <vt:lpstr>'Model (remaining) '!Investment_cost</vt:lpstr>
      <vt:lpstr>Solution!Investment_cost</vt:lpstr>
      <vt:lpstr>'Solution (relaxation)'!Investment_cost</vt:lpstr>
      <vt:lpstr>'Solution (remaining)'!Investment_cost</vt:lpstr>
      <vt:lpstr>Investment_cost</vt:lpstr>
      <vt:lpstr>'Model (relaxation)'!Investment_levels</vt:lpstr>
      <vt:lpstr>'Model (remaining) '!Investment_levels</vt:lpstr>
      <vt:lpstr>Solution!Investment_levels</vt:lpstr>
      <vt:lpstr>'Solution (relaxation)'!Investment_levels</vt:lpstr>
      <vt:lpstr>'Solution (remaining)'!Investment_levels</vt:lpstr>
      <vt:lpstr>Investment_levels</vt:lpstr>
      <vt:lpstr>'Model (relaxation)'!NPV</vt:lpstr>
      <vt:lpstr>'Model (remaining) '!NPV</vt:lpstr>
      <vt:lpstr>Solution!NPV</vt:lpstr>
      <vt:lpstr>'Solution (relaxation)'!NPV</vt:lpstr>
      <vt:lpstr>'Solution (remaining)'!NPV</vt:lpstr>
      <vt:lpstr>NPV</vt:lpstr>
      <vt:lpstr>'Model (relaxation)'!NPV_per_investment_dollar</vt:lpstr>
      <vt:lpstr>'Model (remaining) '!NPV_per_investment_dollar</vt:lpstr>
      <vt:lpstr>Solution!NPV_per_investment_dollar</vt:lpstr>
      <vt:lpstr>'Solution (relaxation)'!NPV_per_investment_dollar</vt:lpstr>
      <vt:lpstr>'Solution (remaining)'!NPV_per_investment_dollar</vt:lpstr>
      <vt:lpstr>NPV_per_investment_dollar</vt:lpstr>
      <vt:lpstr>'Model (remaining) '!Remaining</vt:lpstr>
      <vt:lpstr>Remaining</vt:lpstr>
      <vt:lpstr>'Model (remaining) '!Total</vt:lpstr>
      <vt:lpstr>Total</vt:lpstr>
      <vt:lpstr>'Model (remaining) '!Total_cash</vt:lpstr>
      <vt:lpstr>Total_cash</vt:lpstr>
      <vt:lpstr>'Model (relaxation)'!Total_NPV</vt:lpstr>
      <vt:lpstr>'Model (remaining) '!Total_NPV</vt:lpstr>
      <vt:lpstr>Solution!Total_NPV</vt:lpstr>
      <vt:lpstr>'Solution (relaxation)'!Total_NPV</vt:lpstr>
      <vt:lpstr>'Solution (remaining)'!Total_NPV</vt:lpstr>
      <vt:lpstr>Total_NPV</vt:lpstr>
      <vt:lpstr>'Model (remaining) '!Total_remaining</vt:lpstr>
      <vt:lpstr>Total_remaining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Lei Zhao</cp:lastModifiedBy>
  <cp:lastPrinted>2014-10-28T16:03:14Z</cp:lastPrinted>
  <dcterms:created xsi:type="dcterms:W3CDTF">1997-08-23T19:53:01Z</dcterms:created>
  <dcterms:modified xsi:type="dcterms:W3CDTF">2025-11-25T16:31:34Z</dcterms:modified>
</cp:coreProperties>
</file>
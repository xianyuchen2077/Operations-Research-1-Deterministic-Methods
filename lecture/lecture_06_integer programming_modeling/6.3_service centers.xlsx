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work\teaching\bs_or 1_deterministic models\lectures\lecture_06_integer programming_modeling\"/>
    </mc:Choice>
  </mc:AlternateContent>
  <xr:revisionPtr revIDLastSave="0" documentId="13_ncr:1_{1FDF2A04-E778-4101-A971-F178D3D785EF}" xr6:coauthVersionLast="47" xr6:coauthVersionMax="47" xr10:uidLastSave="{00000000-0000-0000-0000-000000000000}"/>
  <bookViews>
    <workbookView xWindow="400" yWindow="0" windowWidth="37600" windowHeight="20880" firstSheet="1" activeTab="2" xr2:uid="{00000000-000D-0000-FFFF-FFFF00000000}"/>
  </bookViews>
  <sheets>
    <sheet name="Exercise" sheetId="5" r:id="rId1"/>
    <sheet name="Data" sheetId="1" r:id="rId2"/>
    <sheet name="Model" sheetId="4" r:id="rId3"/>
    <sheet name="Solution" sheetId="6" r:id="rId4"/>
    <sheet name="Model (Aggregate)" sheetId="7" r:id="rId5"/>
    <sheet name="Solution (Aggregate)" sheetId="11" r:id="rId6"/>
    <sheet name="Sheet1" sheetId="3" state="veryHidden" r:id="rId7"/>
  </sheets>
  <definedNames>
    <definedName name="Aggregate_assignments" localSheetId="5">'Solution (Aggregate)'!$B$35:$L$35</definedName>
    <definedName name="Aggregate_assignments">'Model (Aggregate)'!$B$35:$L$35</definedName>
    <definedName name="Allowed" localSheetId="4">'Model (Aggregate)'!$O$19</definedName>
    <definedName name="Allowed" localSheetId="3">Solution!$O$19</definedName>
    <definedName name="Allowed" localSheetId="5">'Solution (Aggregate)'!$O$19</definedName>
    <definedName name="Allowed">Model!$O$19</definedName>
    <definedName name="Annual_trips" localSheetId="4">'Model (Aggregate)'!$B$42:$B$52</definedName>
    <definedName name="Annual_trips" localSheetId="3">Solution!$B$50:$B$60</definedName>
    <definedName name="Annual_trips" localSheetId="5">'Solution (Aggregate)'!$B$42:$B$52</definedName>
    <definedName name="Annual_trips">Model!$B$50:$B$60</definedName>
    <definedName name="Assignments" localSheetId="4">'Model (Aggregate)'!$B$23:$L$33</definedName>
    <definedName name="Assignments" localSheetId="3">Solution!$B$23:$L$33</definedName>
    <definedName name="Assignments" localSheetId="5">'Solution (Aggregate)'!$B$23:$L$33</definedName>
    <definedName name="Assignments">Model!$B$23:$L$33</definedName>
    <definedName name="Big_M" localSheetId="5">'Solution (Aggregate)'!$B$37</definedName>
    <definedName name="Big_M">'Model (Aggregate)'!$B$37</definedName>
    <definedName name="Copies_included?" localSheetId="3">Solution!$B$36:$L$46</definedName>
    <definedName name="Copies_included?">Model!$B$36:$L$46</definedName>
    <definedName name="Distances_between_cities" localSheetId="4">'Model (Aggregate)'!$B$5:$L$15</definedName>
    <definedName name="Distances_between_cities" localSheetId="3">Solution!$B$5:$L$15</definedName>
    <definedName name="Distances_between_cities" localSheetId="5">'Solution (Aggregate)'!$B$5:$L$15</definedName>
    <definedName name="Distances_between_cities">Model!$B$5:$L$15</definedName>
    <definedName name="Included?" localSheetId="4">'Model (Aggregate)'!$B$19:$L$19</definedName>
    <definedName name="Included?" localSheetId="3">Solution!$B$19:$L$19</definedName>
    <definedName name="Included?" localSheetId="5">'Solution (Aggregate)'!$B$19:$L$19</definedName>
    <definedName name="Included?">Model!$B$19:$L$19</definedName>
    <definedName name="Locations_assigned_to" localSheetId="4">'Model (Aggregate)'!$M$23:$M$33</definedName>
    <definedName name="Locations_assigned_to" localSheetId="3">Solution!$M$23:$M$33</definedName>
    <definedName name="Locations_assigned_to" localSheetId="5">'Solution (Aggregate)'!$M$23:$M$33</definedName>
    <definedName name="Locations_assigned_to">Model!$M$23:$M$33</definedName>
    <definedName name="Required" localSheetId="4">'Model (Aggregate)'!$O$23:$O$33</definedName>
    <definedName name="Required" localSheetId="3">Solution!$O$23:$O$33</definedName>
    <definedName name="Required" localSheetId="5">'Solution (Aggregate)'!$O$23:$O$33</definedName>
    <definedName name="Required">Model!$O$23:$O$33</definedName>
    <definedName name="Service_capacity" localSheetId="5">'Solution (Aggregate)'!$B$38:$L$38</definedName>
    <definedName name="Service_capacity">'Model (Aggregate)'!$B$38:$L$38</definedName>
    <definedName name="solver_adj" localSheetId="2" hidden="1">Model!$B$19:$L$19,Model!$B$23:$L$33</definedName>
    <definedName name="solver_adj" localSheetId="4" hidden="1">'Model (Aggregate)'!$B$19:$L$19,'Model (Aggregate)'!$B$23:$L$33</definedName>
    <definedName name="solver_adj" localSheetId="3" hidden="1">Solution!$B$19:$L$19,Solution!$B$23:$L$33</definedName>
    <definedName name="solver_adj" localSheetId="5" hidden="1">'Solution (Aggregate)'!$B$19:$L$19,'Solution (Aggregate)'!$B$23:$L$33</definedName>
    <definedName name="solver_cvg" localSheetId="2" hidden="1">0.0001</definedName>
    <definedName name="solver_cvg" localSheetId="4" hidden="1">0.0001</definedName>
    <definedName name="solver_cvg" localSheetId="3" hidden="1">0.0001</definedName>
    <definedName name="solver_cvg" localSheetId="5" hidden="1">0.0001</definedName>
    <definedName name="solver_drv" localSheetId="2" hidden="1">1</definedName>
    <definedName name="solver_drv" localSheetId="4" hidden="1">1</definedName>
    <definedName name="solver_drv" localSheetId="3" hidden="1">1</definedName>
    <definedName name="solver_drv" localSheetId="5" hidden="1">1</definedName>
    <definedName name="solver_eng" localSheetId="2" hidden="1">2</definedName>
    <definedName name="solver_eng" localSheetId="4" hidden="1">2</definedName>
    <definedName name="solver_eng" localSheetId="3" hidden="1">2</definedName>
    <definedName name="solver_eng" localSheetId="5" hidden="1">2</definedName>
    <definedName name="solver_est" localSheetId="2" hidden="1">1</definedName>
    <definedName name="solver_est" localSheetId="4" hidden="1">1</definedName>
    <definedName name="solver_est" localSheetId="3" hidden="1">1</definedName>
    <definedName name="solver_est" localSheetId="5" hidden="1">1</definedName>
    <definedName name="solver_itr" localSheetId="2" hidden="1">100</definedName>
    <definedName name="solver_itr" localSheetId="4" hidden="1">100</definedName>
    <definedName name="solver_itr" localSheetId="3" hidden="1">100</definedName>
    <definedName name="solver_itr" localSheetId="5" hidden="1">100</definedName>
    <definedName name="solver_lhs1" localSheetId="2" hidden="1">Model!$M$19</definedName>
    <definedName name="solver_lhs1" localSheetId="4" hidden="1">'Model (Aggregate)'!$M$19</definedName>
    <definedName name="solver_lhs1" localSheetId="3" hidden="1">Solution!$M$19</definedName>
    <definedName name="solver_lhs1" localSheetId="5" hidden="1">'Solution (Aggregate)'!$B$23:$L$33</definedName>
    <definedName name="solver_lhs2" localSheetId="2" hidden="1">Model!$M$23:$M$33</definedName>
    <definedName name="solver_lhs2" localSheetId="4" hidden="1">'Model (Aggregate)'!$M$23:$M$33</definedName>
    <definedName name="solver_lhs2" localSheetId="3" hidden="1">Solution!$B$23:$L$33</definedName>
    <definedName name="solver_lhs2" localSheetId="5" hidden="1">'Solution (Aggregate)'!$B$19:$L$19</definedName>
    <definedName name="solver_lhs3" localSheetId="2" hidden="1">Model!$B$23:$L$33</definedName>
    <definedName name="solver_lhs3" localSheetId="4" hidden="1">'Model (Aggregate)'!$B$35:$L$35</definedName>
    <definedName name="solver_lhs3" localSheetId="3" hidden="1">Solution!$B$23:$L$33</definedName>
    <definedName name="solver_lhs3" localSheetId="5" hidden="1">'Solution (Aggregate)'!$B$35:$L$35</definedName>
    <definedName name="solver_lhs4" localSheetId="2" hidden="1">Model!$B$23:$L$33</definedName>
    <definedName name="solver_lhs4" localSheetId="4" hidden="1">'Model (Aggregate)'!$B$23:$L$33</definedName>
    <definedName name="solver_lhs4" localSheetId="3" hidden="1">Solution!$B$19:$L$19</definedName>
    <definedName name="solver_lhs4" localSheetId="5" hidden="1">'Solution (Aggregate)'!$M$19</definedName>
    <definedName name="solver_lhs5" localSheetId="2" hidden="1">Model!$B$19:$L$19</definedName>
    <definedName name="solver_lhs5" localSheetId="4" hidden="1">'Model (Aggregate)'!$B$19:$L$19</definedName>
    <definedName name="solver_lhs5" localSheetId="3" hidden="1">Solution!$M$23:$M$33</definedName>
    <definedName name="solver_lhs5" localSheetId="5" hidden="1">'Solution (Aggregate)'!$M$23:$M$33</definedName>
    <definedName name="solver_lin" localSheetId="2" hidden="1">1</definedName>
    <definedName name="solver_lin" localSheetId="4" hidden="1">1</definedName>
    <definedName name="solver_lin" localSheetId="3" hidden="1">1</definedName>
    <definedName name="solver_lin" localSheetId="5" hidden="1">1</definedName>
    <definedName name="solver_mip" localSheetId="2" hidden="1">2147483647</definedName>
    <definedName name="solver_mip" localSheetId="4" hidden="1">2147483647</definedName>
    <definedName name="solver_mip" localSheetId="5" hidden="1">2147483647</definedName>
    <definedName name="solver_mni" localSheetId="2" hidden="1">30</definedName>
    <definedName name="solver_mni" localSheetId="4" hidden="1">30</definedName>
    <definedName name="solver_mni" localSheetId="5" hidden="1">30</definedName>
    <definedName name="solver_mrt" localSheetId="2" hidden="1">0.075</definedName>
    <definedName name="solver_mrt" localSheetId="4" hidden="1">0.075</definedName>
    <definedName name="solver_mrt" localSheetId="5" hidden="1">0.075</definedName>
    <definedName name="solver_msl" localSheetId="2" hidden="1">2</definedName>
    <definedName name="solver_msl" localSheetId="4" hidden="1">2</definedName>
    <definedName name="solver_msl" localSheetId="5" hidden="1">2</definedName>
    <definedName name="solver_neg" localSheetId="2" hidden="1">1</definedName>
    <definedName name="solver_neg" localSheetId="4" hidden="1">1</definedName>
    <definedName name="solver_neg" localSheetId="3" hidden="1">1</definedName>
    <definedName name="solver_neg" localSheetId="5" hidden="1">1</definedName>
    <definedName name="solver_nod" localSheetId="2" hidden="1">2147483647</definedName>
    <definedName name="solver_nod" localSheetId="4" hidden="1">2147483647</definedName>
    <definedName name="solver_nod" localSheetId="5" hidden="1">2147483647</definedName>
    <definedName name="solver_num" localSheetId="2" hidden="1">5</definedName>
    <definedName name="solver_num" localSheetId="4" hidden="1">5</definedName>
    <definedName name="solver_num" localSheetId="3" hidden="1">5</definedName>
    <definedName name="solver_num" localSheetId="5" hidden="1">5</definedName>
    <definedName name="solver_nwt" localSheetId="2" hidden="1">1</definedName>
    <definedName name="solver_nwt" localSheetId="4" hidden="1">1</definedName>
    <definedName name="solver_nwt" localSheetId="3" hidden="1">1</definedName>
    <definedName name="solver_nwt" localSheetId="5" hidden="1">1</definedName>
    <definedName name="solver_opt" localSheetId="2" hidden="1">Model!$B$63</definedName>
    <definedName name="solver_opt" localSheetId="4" hidden="1">'Model (Aggregate)'!$B$55</definedName>
    <definedName name="solver_opt" localSheetId="3" hidden="1">Solution!$B$63</definedName>
    <definedName name="solver_opt" localSheetId="5" hidden="1">'Solution (Aggregate)'!$B$55</definedName>
    <definedName name="solver_pre" localSheetId="2" hidden="1">0.000001</definedName>
    <definedName name="solver_pre" localSheetId="4" hidden="1">0.000001</definedName>
    <definedName name="solver_pre" localSheetId="3" hidden="1">0.000001</definedName>
    <definedName name="solver_pre" localSheetId="5" hidden="1">0.000001</definedName>
    <definedName name="solver_rbv" localSheetId="2" hidden="1">1</definedName>
    <definedName name="solver_rbv" localSheetId="4" hidden="1">1</definedName>
    <definedName name="solver_rbv" localSheetId="5" hidden="1">1</definedName>
    <definedName name="solver_rel1" localSheetId="2" hidden="1">1</definedName>
    <definedName name="solver_rel1" localSheetId="4" hidden="1">1</definedName>
    <definedName name="solver_rel1" localSheetId="3" hidden="1">2</definedName>
    <definedName name="solver_rel1" localSheetId="5" hidden="1">5</definedName>
    <definedName name="solver_rel2" localSheetId="2" hidden="1">2</definedName>
    <definedName name="solver_rel2" localSheetId="4" hidden="1">2</definedName>
    <definedName name="solver_rel2" localSheetId="3" hidden="1">1</definedName>
    <definedName name="solver_rel2" localSheetId="5" hidden="1">5</definedName>
    <definedName name="solver_rel3" localSheetId="2" hidden="1">1</definedName>
    <definedName name="solver_rel3" localSheetId="4" hidden="1">1</definedName>
    <definedName name="solver_rel3" localSheetId="3" hidden="1">5</definedName>
    <definedName name="solver_rel3" localSheetId="5" hidden="1">1</definedName>
    <definedName name="solver_rel4" localSheetId="2" hidden="1">5</definedName>
    <definedName name="solver_rel4" localSheetId="4" hidden="1">5</definedName>
    <definedName name="solver_rel4" localSheetId="3" hidden="1">5</definedName>
    <definedName name="solver_rel4" localSheetId="5" hidden="1">1</definedName>
    <definedName name="solver_rel5" localSheetId="2" hidden="1">5</definedName>
    <definedName name="solver_rel5" localSheetId="4" hidden="1">5</definedName>
    <definedName name="solver_rel5" localSheetId="3" hidden="1">2</definedName>
    <definedName name="solver_rel5" localSheetId="5" hidden="1">2</definedName>
    <definedName name="solver_rhs1" localSheetId="2" hidden="1">Allowed</definedName>
    <definedName name="solver_rhs1" localSheetId="4" hidden="1">'Model (Aggregate)'!$O$19</definedName>
    <definedName name="solver_rhs1" localSheetId="3" hidden="1">Solution!$O$19</definedName>
    <definedName name="solver_rhs1" localSheetId="5" hidden="1">"binary"</definedName>
    <definedName name="solver_rhs2" localSheetId="2" hidden="1">Required</definedName>
    <definedName name="solver_rhs2" localSheetId="4" hidden="1">'Model (Aggregate)'!$O$23:$O$33</definedName>
    <definedName name="solver_rhs2" localSheetId="3" hidden="1">Solution!$B$36:$L$46</definedName>
    <definedName name="solver_rhs2" localSheetId="5" hidden="1">"binary"</definedName>
    <definedName name="solver_rhs3" localSheetId="2" hidden="1">Copies_included?</definedName>
    <definedName name="solver_rhs3" localSheetId="4" hidden="1">Service_capacity</definedName>
    <definedName name="solver_rhs3" localSheetId="3" hidden="1">binary</definedName>
    <definedName name="solver_rhs3" localSheetId="5" hidden="1">'Solution (Aggregate)'!$B$38:$L$38</definedName>
    <definedName name="solver_rhs4" localSheetId="2" hidden="1">"binary"</definedName>
    <definedName name="solver_rhs4" localSheetId="4" hidden="1">"binary"</definedName>
    <definedName name="solver_rhs4" localSheetId="3" hidden="1">binary</definedName>
    <definedName name="solver_rhs4" localSheetId="5" hidden="1">'Solution (Aggregate)'!$O$19</definedName>
    <definedName name="solver_rhs5" localSheetId="2" hidden="1">"binary"</definedName>
    <definedName name="solver_rhs5" localSheetId="4" hidden="1">"binary"</definedName>
    <definedName name="solver_rhs5" localSheetId="3" hidden="1">Solution!$O$23:$O$33</definedName>
    <definedName name="solver_rhs5" localSheetId="5" hidden="1">'Solution (Aggregate)'!$O$23:$O$33</definedName>
    <definedName name="solver_rlx" localSheetId="2" hidden="1">1</definedName>
    <definedName name="solver_rlx" localSheetId="4" hidden="1">2</definedName>
    <definedName name="solver_rlx" localSheetId="5" hidden="1">2</definedName>
    <definedName name="solver_rsd" localSheetId="2" hidden="1">0</definedName>
    <definedName name="solver_rsd" localSheetId="4" hidden="1">0</definedName>
    <definedName name="solver_rsd" localSheetId="5" hidden="1">0</definedName>
    <definedName name="solver_scl" localSheetId="2" hidden="1">2</definedName>
    <definedName name="solver_scl" localSheetId="4" hidden="1">2</definedName>
    <definedName name="solver_scl" localSheetId="3" hidden="1">2</definedName>
    <definedName name="solver_scl" localSheetId="5" hidden="1">2</definedName>
    <definedName name="solver_sho" localSheetId="2" hidden="1">2</definedName>
    <definedName name="solver_sho" localSheetId="4" hidden="1">2</definedName>
    <definedName name="solver_sho" localSheetId="3" hidden="1">2</definedName>
    <definedName name="solver_sho" localSheetId="5" hidden="1">2</definedName>
    <definedName name="solver_ssz" localSheetId="2" hidden="1">100</definedName>
    <definedName name="solver_ssz" localSheetId="4" hidden="1">100</definedName>
    <definedName name="solver_ssz" localSheetId="5" hidden="1">100</definedName>
    <definedName name="solver_tim" localSheetId="2" hidden="1">100</definedName>
    <definedName name="solver_tim" localSheetId="4" hidden="1">100</definedName>
    <definedName name="solver_tim" localSheetId="3" hidden="1">100</definedName>
    <definedName name="solver_tim" localSheetId="5" hidden="1">100</definedName>
    <definedName name="solver_tol" localSheetId="2" hidden="1">0</definedName>
    <definedName name="solver_tol" localSheetId="4" hidden="1">0</definedName>
    <definedName name="solver_tol" localSheetId="3" hidden="1">0</definedName>
    <definedName name="solver_tol" localSheetId="5" hidden="1">0</definedName>
    <definedName name="solver_typ" localSheetId="2" hidden="1">2</definedName>
    <definedName name="solver_typ" localSheetId="4" hidden="1">2</definedName>
    <definedName name="solver_typ" localSheetId="3" hidden="1">2</definedName>
    <definedName name="solver_typ" localSheetId="5" hidden="1">2</definedName>
    <definedName name="solver_val" localSheetId="2" hidden="1">0</definedName>
    <definedName name="solver_val" localSheetId="4" hidden="1">0</definedName>
    <definedName name="solver_val" localSheetId="3" hidden="1">0</definedName>
    <definedName name="solver_val" localSheetId="5" hidden="1">0</definedName>
    <definedName name="solver_ver" localSheetId="2" hidden="1">3</definedName>
    <definedName name="solver_ver" localSheetId="4" hidden="1">3</definedName>
    <definedName name="solver_ver" localSheetId="3" hidden="1">3</definedName>
    <definedName name="solver_ver" localSheetId="5" hidden="1">3</definedName>
    <definedName name="Total_annual_distance" localSheetId="4">'Model (Aggregate)'!$C$42:$C$52</definedName>
    <definedName name="Total_annual_distance" localSheetId="3">Solution!$C$50:$C$60</definedName>
    <definedName name="Total_annual_distance" localSheetId="5">'Solution (Aggregate)'!$C$42:$C$52</definedName>
    <definedName name="Total_annual_distance">Model!$C$50:$C$60</definedName>
    <definedName name="Total_distance" localSheetId="4">'Model (Aggregate)'!$B$55</definedName>
    <definedName name="Total_distance" localSheetId="3">Solution!$B$63</definedName>
    <definedName name="Total_distance" localSheetId="5">'Solution (Aggregate)'!$B$55</definedName>
    <definedName name="Total_distance">Model!$B$63</definedName>
    <definedName name="Total_service_centers" localSheetId="4">'Model (Aggregate)'!$M$19</definedName>
    <definedName name="Total_service_centers" localSheetId="3">Solution!$M$19</definedName>
    <definedName name="Total_service_centers" localSheetId="5">'Solution (Aggregate)'!$M$19</definedName>
    <definedName name="Total_service_centers">Model!$M$19</definedName>
  </definedNames>
  <calcPr calcId="191029" iterateDelta="9.9999999999999995E-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5" i="11" l="1"/>
  <c r="C52" i="11"/>
  <c r="C51" i="11"/>
  <c r="C50" i="11"/>
  <c r="C49" i="11"/>
  <c r="C48" i="11"/>
  <c r="C47" i="11"/>
  <c r="C46" i="11"/>
  <c r="C45" i="11"/>
  <c r="C44" i="11"/>
  <c r="C43" i="11"/>
  <c r="C42" i="11"/>
  <c r="L38" i="11"/>
  <c r="K38" i="11"/>
  <c r="J38" i="11"/>
  <c r="I38" i="11"/>
  <c r="H38" i="11"/>
  <c r="G38" i="11"/>
  <c r="F38" i="11"/>
  <c r="E38" i="11"/>
  <c r="D38" i="11"/>
  <c r="C38" i="11"/>
  <c r="B38" i="11"/>
  <c r="L35" i="11"/>
  <c r="K35" i="11"/>
  <c r="J35" i="11"/>
  <c r="I35" i="11"/>
  <c r="H35" i="11"/>
  <c r="G35" i="11"/>
  <c r="F35" i="11"/>
  <c r="E35" i="11"/>
  <c r="D35" i="11"/>
  <c r="C35" i="11"/>
  <c r="M33" i="11"/>
  <c r="M32" i="11"/>
  <c r="M31" i="11"/>
  <c r="M30" i="11"/>
  <c r="M29" i="11"/>
  <c r="M28" i="11"/>
  <c r="M27" i="11"/>
  <c r="M26" i="11"/>
  <c r="M25" i="11"/>
  <c r="M24" i="11"/>
  <c r="M23" i="11"/>
  <c r="M19" i="11"/>
  <c r="C35" i="7"/>
  <c r="D35" i="7"/>
  <c r="E35" i="7"/>
  <c r="F35" i="7"/>
  <c r="G35" i="7"/>
  <c r="H35" i="7"/>
  <c r="I35" i="7"/>
  <c r="J35" i="7"/>
  <c r="K35" i="7"/>
  <c r="L35" i="7"/>
  <c r="B55" i="11" l="1"/>
  <c r="C38" i="7"/>
  <c r="D38" i="7"/>
  <c r="E38" i="7"/>
  <c r="F38" i="7"/>
  <c r="G38" i="7"/>
  <c r="H38" i="7"/>
  <c r="I38" i="7"/>
  <c r="J38" i="7"/>
  <c r="K38" i="7"/>
  <c r="L38" i="7"/>
  <c r="B38" i="7"/>
  <c r="B35" i="7"/>
  <c r="C52" i="7"/>
  <c r="C51" i="7"/>
  <c r="C50" i="7"/>
  <c r="C49" i="7"/>
  <c r="C48" i="7"/>
  <c r="C47" i="7"/>
  <c r="C46" i="7"/>
  <c r="C45" i="7"/>
  <c r="C44" i="7"/>
  <c r="C43" i="7"/>
  <c r="C42" i="7"/>
  <c r="M33" i="7"/>
  <c r="M32" i="7"/>
  <c r="M31" i="7"/>
  <c r="M30" i="7"/>
  <c r="M29" i="7"/>
  <c r="M28" i="7"/>
  <c r="M27" i="7"/>
  <c r="M26" i="7"/>
  <c r="M25" i="7"/>
  <c r="M24" i="7"/>
  <c r="M23" i="7"/>
  <c r="M19" i="7"/>
  <c r="B55" i="7" l="1"/>
  <c r="C60" i="6"/>
  <c r="C59" i="6"/>
  <c r="C58" i="6"/>
  <c r="C57" i="6"/>
  <c r="C56" i="6"/>
  <c r="C55" i="6"/>
  <c r="C54" i="6"/>
  <c r="C53" i="6"/>
  <c r="C52" i="6"/>
  <c r="C51" i="6"/>
  <c r="C50" i="6"/>
  <c r="L46" i="6"/>
  <c r="K46" i="6"/>
  <c r="J46" i="6"/>
  <c r="I46" i="6"/>
  <c r="H46" i="6"/>
  <c r="G46" i="6"/>
  <c r="F46" i="6"/>
  <c r="E46" i="6"/>
  <c r="D46" i="6"/>
  <c r="C46" i="6"/>
  <c r="B46" i="6"/>
  <c r="L45" i="6"/>
  <c r="K45" i="6"/>
  <c r="J45" i="6"/>
  <c r="I45" i="6"/>
  <c r="H45" i="6"/>
  <c r="G45" i="6"/>
  <c r="F45" i="6"/>
  <c r="E45" i="6"/>
  <c r="D45" i="6"/>
  <c r="C45" i="6"/>
  <c r="B45" i="6"/>
  <c r="L44" i="6"/>
  <c r="K44" i="6"/>
  <c r="J44" i="6"/>
  <c r="I44" i="6"/>
  <c r="H44" i="6"/>
  <c r="G44" i="6"/>
  <c r="F44" i="6"/>
  <c r="E44" i="6"/>
  <c r="D44" i="6"/>
  <c r="C44" i="6"/>
  <c r="B44" i="6"/>
  <c r="L43" i="6"/>
  <c r="K43" i="6"/>
  <c r="J43" i="6"/>
  <c r="I43" i="6"/>
  <c r="H43" i="6"/>
  <c r="G43" i="6"/>
  <c r="F43" i="6"/>
  <c r="E43" i="6"/>
  <c r="D43" i="6"/>
  <c r="C43" i="6"/>
  <c r="B43" i="6"/>
  <c r="L42" i="6"/>
  <c r="K42" i="6"/>
  <c r="J42" i="6"/>
  <c r="I42" i="6"/>
  <c r="H42" i="6"/>
  <c r="G42" i="6"/>
  <c r="F42" i="6"/>
  <c r="E42" i="6"/>
  <c r="D42" i="6"/>
  <c r="C42" i="6"/>
  <c r="B42" i="6"/>
  <c r="L41" i="6"/>
  <c r="K41" i="6"/>
  <c r="J41" i="6"/>
  <c r="I41" i="6"/>
  <c r="H41" i="6"/>
  <c r="G41" i="6"/>
  <c r="F41" i="6"/>
  <c r="E41" i="6"/>
  <c r="D41" i="6"/>
  <c r="C41" i="6"/>
  <c r="B41" i="6"/>
  <c r="L40" i="6"/>
  <c r="K40" i="6"/>
  <c r="J40" i="6"/>
  <c r="I40" i="6"/>
  <c r="H40" i="6"/>
  <c r="G40" i="6"/>
  <c r="F40" i="6"/>
  <c r="E40" i="6"/>
  <c r="D40" i="6"/>
  <c r="C40" i="6"/>
  <c r="B40" i="6"/>
  <c r="L39" i="6"/>
  <c r="K39" i="6"/>
  <c r="J39" i="6"/>
  <c r="I39" i="6"/>
  <c r="H39" i="6"/>
  <c r="G39" i="6"/>
  <c r="F39" i="6"/>
  <c r="E39" i="6"/>
  <c r="D39" i="6"/>
  <c r="C39" i="6"/>
  <c r="B39" i="6"/>
  <c r="L38" i="6"/>
  <c r="K38" i="6"/>
  <c r="J38" i="6"/>
  <c r="I38" i="6"/>
  <c r="H38" i="6"/>
  <c r="G38" i="6"/>
  <c r="F38" i="6"/>
  <c r="E38" i="6"/>
  <c r="D38" i="6"/>
  <c r="C38" i="6"/>
  <c r="B38" i="6"/>
  <c r="L37" i="6"/>
  <c r="K37" i="6"/>
  <c r="J37" i="6"/>
  <c r="I37" i="6"/>
  <c r="H37" i="6"/>
  <c r="G37" i="6"/>
  <c r="F37" i="6"/>
  <c r="E37" i="6"/>
  <c r="D37" i="6"/>
  <c r="C37" i="6"/>
  <c r="B37" i="6"/>
  <c r="L36" i="6"/>
  <c r="K36" i="6"/>
  <c r="J36" i="6"/>
  <c r="I36" i="6"/>
  <c r="H36" i="6"/>
  <c r="G36" i="6"/>
  <c r="F36" i="6"/>
  <c r="E36" i="6"/>
  <c r="D36" i="6"/>
  <c r="C36" i="6"/>
  <c r="B36" i="6"/>
  <c r="M33" i="6"/>
  <c r="M32" i="6"/>
  <c r="M31" i="6"/>
  <c r="M30" i="6"/>
  <c r="M29" i="6"/>
  <c r="M28" i="6"/>
  <c r="M27" i="6"/>
  <c r="M26" i="6"/>
  <c r="M25" i="6"/>
  <c r="M24" i="6"/>
  <c r="M23" i="6"/>
  <c r="M19" i="6"/>
  <c r="C60" i="4"/>
  <c r="C59" i="4"/>
  <c r="C58" i="4"/>
  <c r="C57" i="4"/>
  <c r="C56" i="4"/>
  <c r="C55" i="4"/>
  <c r="C54" i="4"/>
  <c r="C53" i="4"/>
  <c r="C52" i="4"/>
  <c r="C51" i="4"/>
  <c r="C50" i="4"/>
  <c r="L46" i="4"/>
  <c r="K46" i="4"/>
  <c r="J46" i="4"/>
  <c r="I46" i="4"/>
  <c r="H46" i="4"/>
  <c r="G46" i="4"/>
  <c r="F46" i="4"/>
  <c r="E46" i="4"/>
  <c r="D46" i="4"/>
  <c r="C46" i="4"/>
  <c r="B46" i="4"/>
  <c r="L45" i="4"/>
  <c r="K45" i="4"/>
  <c r="J45" i="4"/>
  <c r="I45" i="4"/>
  <c r="H45" i="4"/>
  <c r="G45" i="4"/>
  <c r="F45" i="4"/>
  <c r="E45" i="4"/>
  <c r="D45" i="4"/>
  <c r="C45" i="4"/>
  <c r="B45" i="4"/>
  <c r="L44" i="4"/>
  <c r="K44" i="4"/>
  <c r="J44" i="4"/>
  <c r="I44" i="4"/>
  <c r="H44" i="4"/>
  <c r="G44" i="4"/>
  <c r="F44" i="4"/>
  <c r="E44" i="4"/>
  <c r="D44" i="4"/>
  <c r="C44" i="4"/>
  <c r="B44" i="4"/>
  <c r="L43" i="4"/>
  <c r="K43" i="4"/>
  <c r="J43" i="4"/>
  <c r="I43" i="4"/>
  <c r="H43" i="4"/>
  <c r="G43" i="4"/>
  <c r="F43" i="4"/>
  <c r="E43" i="4"/>
  <c r="D43" i="4"/>
  <c r="C43" i="4"/>
  <c r="B43" i="4"/>
  <c r="L42" i="4"/>
  <c r="K42" i="4"/>
  <c r="J42" i="4"/>
  <c r="I42" i="4"/>
  <c r="H42" i="4"/>
  <c r="G42" i="4"/>
  <c r="F42" i="4"/>
  <c r="E42" i="4"/>
  <c r="D42" i="4"/>
  <c r="C42" i="4"/>
  <c r="B42" i="4"/>
  <c r="L41" i="4"/>
  <c r="K41" i="4"/>
  <c r="J41" i="4"/>
  <c r="I41" i="4"/>
  <c r="H41" i="4"/>
  <c r="G41" i="4"/>
  <c r="F41" i="4"/>
  <c r="E41" i="4"/>
  <c r="D41" i="4"/>
  <c r="C41" i="4"/>
  <c r="B41" i="4"/>
  <c r="L40" i="4"/>
  <c r="K40" i="4"/>
  <c r="J40" i="4"/>
  <c r="I40" i="4"/>
  <c r="H40" i="4"/>
  <c r="G40" i="4"/>
  <c r="F40" i="4"/>
  <c r="E40" i="4"/>
  <c r="D40" i="4"/>
  <c r="C40" i="4"/>
  <c r="B40" i="4"/>
  <c r="L39" i="4"/>
  <c r="K39" i="4"/>
  <c r="J39" i="4"/>
  <c r="I39" i="4"/>
  <c r="H39" i="4"/>
  <c r="G39" i="4"/>
  <c r="F39" i="4"/>
  <c r="E39" i="4"/>
  <c r="D39" i="4"/>
  <c r="C39" i="4"/>
  <c r="B39" i="4"/>
  <c r="L38" i="4"/>
  <c r="K38" i="4"/>
  <c r="J38" i="4"/>
  <c r="I38" i="4"/>
  <c r="H38" i="4"/>
  <c r="G38" i="4"/>
  <c r="F38" i="4"/>
  <c r="E38" i="4"/>
  <c r="D38" i="4"/>
  <c r="C38" i="4"/>
  <c r="B38" i="4"/>
  <c r="L37" i="4"/>
  <c r="K37" i="4"/>
  <c r="J37" i="4"/>
  <c r="I37" i="4"/>
  <c r="H37" i="4"/>
  <c r="G37" i="4"/>
  <c r="F37" i="4"/>
  <c r="E37" i="4"/>
  <c r="D37" i="4"/>
  <c r="C37" i="4"/>
  <c r="B37" i="4"/>
  <c r="L36" i="4"/>
  <c r="K36" i="4"/>
  <c r="J36" i="4"/>
  <c r="I36" i="4"/>
  <c r="H36" i="4"/>
  <c r="G36" i="4"/>
  <c r="F36" i="4"/>
  <c r="E36" i="4"/>
  <c r="D36" i="4"/>
  <c r="C36" i="4"/>
  <c r="B36" i="4"/>
  <c r="M33" i="4"/>
  <c r="M32" i="4"/>
  <c r="M31" i="4"/>
  <c r="M30" i="4"/>
  <c r="M29" i="4"/>
  <c r="M28" i="4"/>
  <c r="M27" i="4"/>
  <c r="M26" i="4"/>
  <c r="M25" i="4"/>
  <c r="M24" i="4"/>
  <c r="M23" i="4"/>
  <c r="M19" i="4"/>
  <c r="B63" i="4" l="1"/>
  <c r="B63" i="6"/>
</calcChain>
</file>

<file path=xl/sharedStrings.xml><?xml version="1.0" encoding="utf-8"?>
<sst xmlns="http://schemas.openxmlformats.org/spreadsheetml/2006/main" count="560" uniqueCount="32">
  <si>
    <t>Distances between cities</t>
  </si>
  <si>
    <t>Boston</t>
  </si>
  <si>
    <t>Chicago</t>
  </si>
  <si>
    <t>Dallas</t>
  </si>
  <si>
    <t>Denver</t>
  </si>
  <si>
    <t>Miami</t>
  </si>
  <si>
    <t>Phoenix</t>
  </si>
  <si>
    <t>Pittsburgh</t>
  </si>
  <si>
    <t>Seattle</t>
  </si>
  <si>
    <t>Los Angeles</t>
  </si>
  <si>
    <t>San Francisco</t>
  </si>
  <si>
    <t>New York</t>
  </si>
  <si>
    <t>Locations of service centers</t>
  </si>
  <si>
    <t>Included?</t>
  </si>
  <si>
    <t>Assignments (1 if customers along side are serviced by service center along top, 0 otherwise)</t>
  </si>
  <si>
    <t>Copies of "Included?" row</t>
  </si>
  <si>
    <t>Required</t>
  </si>
  <si>
    <t>Total distance</t>
  </si>
  <si>
    <t>Total service centers</t>
  </si>
  <si>
    <t>Allowed</t>
  </si>
  <si>
    <t>Locations assigned to</t>
  </si>
  <si>
    <t>Annual trips</t>
  </si>
  <si>
    <t>Numbers of annual trips to customers, and total distances (1000s of miles) traveled annually to customers</t>
  </si>
  <si>
    <t>Objective to minimize (1000s of miles)</t>
  </si>
  <si>
    <t>=</t>
    <phoneticPr fontId="3" type="noConversion"/>
  </si>
  <si>
    <r>
      <t xml:space="preserve">Total </t>
    </r>
    <r>
      <rPr>
        <sz val="10"/>
        <rFont val="Arial"/>
        <family val="2"/>
      </rPr>
      <t xml:space="preserve">annual </t>
    </r>
    <r>
      <rPr>
        <sz val="10"/>
        <rFont val="Arial"/>
        <family val="2"/>
      </rPr>
      <t>distance</t>
    </r>
    <phoneticPr fontId="3" type="noConversion"/>
  </si>
  <si>
    <t>Service centers</t>
    <phoneticPr fontId="3" type="noConversion"/>
  </si>
  <si>
    <t>Aggregate assignments</t>
    <phoneticPr fontId="5" type="noConversion"/>
  </si>
  <si>
    <r>
      <t>&lt;</t>
    </r>
    <r>
      <rPr>
        <sz val="10"/>
        <rFont val="Arial"/>
        <family val="2"/>
      </rPr>
      <t>=</t>
    </r>
    <phoneticPr fontId="3" type="noConversion"/>
  </si>
  <si>
    <r>
      <t>&lt;</t>
    </r>
    <r>
      <rPr>
        <sz val="10"/>
        <rFont val="Arial"/>
        <family val="2"/>
      </rPr>
      <t>=</t>
    </r>
    <phoneticPr fontId="3" type="noConversion"/>
  </si>
  <si>
    <t>Big M</t>
    <phoneticPr fontId="5" type="noConversion"/>
  </si>
  <si>
    <t>Service capacity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</si>
</sst>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(* #,##0_);_(* \(#,##0\);_(* &quot;-&quot;??_);_(@_)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/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/>
      <top/>
      <bottom/>
      <diagonal/>
    </border>
    <border>
      <left/>
      <right style="medium">
        <color indexed="12"/>
      </right>
      <top/>
      <bottom/>
      <diagonal/>
    </border>
    <border>
      <left style="medium">
        <color indexed="12"/>
      </left>
      <right/>
      <top/>
      <bottom style="medium">
        <color indexed="12"/>
      </bottom>
      <diagonal/>
    </border>
    <border>
      <left/>
      <right/>
      <top/>
      <bottom style="medium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medium">
        <color indexed="12"/>
      </left>
      <right style="medium">
        <color indexed="12"/>
      </right>
      <top/>
      <bottom style="medium">
        <color indexed="12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10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thick">
        <color indexed="10"/>
      </left>
      <right/>
      <top/>
      <bottom/>
      <diagonal/>
    </border>
    <border>
      <left/>
      <right style="thick">
        <color indexed="10"/>
      </right>
      <top/>
      <bottom/>
      <diagonal/>
    </border>
    <border>
      <left style="thick">
        <color indexed="10"/>
      </left>
      <right/>
      <top/>
      <bottom style="thick">
        <color indexed="10"/>
      </bottom>
      <diagonal/>
    </border>
    <border>
      <left/>
      <right/>
      <top/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 style="double">
        <color rgb="FF00B05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1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2" fillId="3" borderId="0" xfId="0" applyFont="1" applyFill="1"/>
    <xf numFmtId="0" fontId="0" fillId="3" borderId="0" xfId="0" applyFill="1"/>
    <xf numFmtId="176" fontId="4" fillId="0" borderId="32" xfId="1" applyNumberFormat="1" applyFont="1" applyBorder="1"/>
    <xf numFmtId="0" fontId="0" fillId="2" borderId="12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0" fillId="0" borderId="0" xfId="0" applyNumberFormat="1" applyBorder="1"/>
    <xf numFmtId="0" fontId="4" fillId="0" borderId="0" xfId="0" applyFont="1" applyAlignment="1">
      <alignment horizontal="left"/>
    </xf>
    <xf numFmtId="176" fontId="4" fillId="0" borderId="32" xfId="2" applyNumberFormat="1" applyFont="1" applyBorder="1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ill="1" applyAlignment="1">
      <alignment horizontal="right"/>
    </xf>
    <xf numFmtId="1" fontId="0" fillId="0" borderId="24" xfId="0" applyNumberFormat="1" applyFill="1" applyBorder="1" applyAlignment="1">
      <alignment horizontal="center"/>
    </xf>
    <xf numFmtId="1" fontId="0" fillId="0" borderId="25" xfId="0" applyNumberFormat="1" applyFill="1" applyBorder="1" applyAlignment="1">
      <alignment horizontal="center"/>
    </xf>
    <xf numFmtId="1" fontId="0" fillId="0" borderId="26" xfId="0" applyNumberFormat="1" applyFill="1" applyBorder="1" applyAlignment="1">
      <alignment horizontal="center"/>
    </xf>
    <xf numFmtId="1" fontId="0" fillId="0" borderId="27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0" borderId="28" xfId="0" applyNumberFormat="1" applyFill="1" applyBorder="1" applyAlignment="1">
      <alignment horizontal="center"/>
    </xf>
    <xf numFmtId="1" fontId="0" fillId="0" borderId="29" xfId="0" applyNumberFormat="1" applyFill="1" applyBorder="1" applyAlignment="1">
      <alignment horizontal="center"/>
    </xf>
    <xf numFmtId="1" fontId="0" fillId="0" borderId="30" xfId="0" applyNumberFormat="1" applyFill="1" applyBorder="1" applyAlignment="1">
      <alignment horizontal="center"/>
    </xf>
    <xf numFmtId="1" fontId="0" fillId="0" borderId="31" xfId="0" applyNumberFormat="1" applyFill="1" applyBorder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quotePrefix="1" applyFont="1" applyAlignment="1">
      <alignment horizontal="center"/>
    </xf>
    <xf numFmtId="0" fontId="0" fillId="2" borderId="12" xfId="0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2" fillId="3" borderId="0" xfId="0" applyFont="1" applyFill="1" applyAlignment="1">
      <alignment horizontal="center"/>
    </xf>
  </cellXfs>
  <cellStyles count="3">
    <cellStyle name="Comma" xfId="1" builtinId="3"/>
    <cellStyle name="Comma 2" xfId="2" xr:uid="{00000000-0005-0000-0000-000001000000}"/>
    <cellStyle name="Normal" xfId="0" builtinId="0"/>
  </cellStyles>
  <dxfs count="12">
    <dxf>
      <font>
        <color rgb="FFC0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5"/>
  <sheetViews>
    <sheetView zoomScale="75" workbookViewId="0">
      <selection activeCell="B19" sqref="B19:L19"/>
    </sheetView>
  </sheetViews>
  <sheetFormatPr defaultRowHeight="12.5" x14ac:dyDescent="0.25"/>
  <cols>
    <col min="1" max="1" width="23.08984375" customWidth="1"/>
    <col min="2" max="12" width="13.08984375" customWidth="1"/>
    <col min="13" max="13" width="19.453125" bestFit="1" customWidth="1"/>
    <col min="14" max="14" width="20.6328125" bestFit="1" customWidth="1"/>
  </cols>
  <sheetData>
    <row r="1" spans="1:15" ht="13" x14ac:dyDescent="0.3">
      <c r="A1" s="58" t="s">
        <v>26</v>
      </c>
      <c r="B1" s="58"/>
      <c r="C1" s="43"/>
      <c r="D1" s="43"/>
      <c r="E1" s="43"/>
    </row>
    <row r="3" spans="1:15" ht="13" x14ac:dyDescent="0.3">
      <c r="A3" s="42" t="s">
        <v>0</v>
      </c>
      <c r="B3" s="43"/>
      <c r="N3" s="1"/>
    </row>
    <row r="4" spans="1:15" ht="13" thickBot="1" x14ac:dyDescent="0.3">
      <c r="A4" s="2"/>
      <c r="B4" s="5" t="s">
        <v>1</v>
      </c>
      <c r="C4" s="5" t="s">
        <v>2</v>
      </c>
      <c r="D4" s="5" t="s">
        <v>3</v>
      </c>
      <c r="E4" s="5" t="s">
        <v>4</v>
      </c>
      <c r="F4" s="5" t="s">
        <v>9</v>
      </c>
      <c r="G4" s="5" t="s">
        <v>5</v>
      </c>
      <c r="H4" s="5" t="s">
        <v>11</v>
      </c>
      <c r="I4" s="5" t="s">
        <v>6</v>
      </c>
      <c r="J4" s="5" t="s">
        <v>7</v>
      </c>
      <c r="K4" s="5" t="s">
        <v>10</v>
      </c>
      <c r="L4" s="5" t="s">
        <v>8</v>
      </c>
      <c r="N4" s="17"/>
      <c r="O4" s="16"/>
    </row>
    <row r="5" spans="1:15" x14ac:dyDescent="0.25">
      <c r="A5" s="2" t="s">
        <v>1</v>
      </c>
      <c r="B5" s="6">
        <v>0</v>
      </c>
      <c r="C5" s="7">
        <v>983</v>
      </c>
      <c r="D5" s="7">
        <v>1815</v>
      </c>
      <c r="E5" s="7">
        <v>1991</v>
      </c>
      <c r="F5" s="7">
        <v>3036</v>
      </c>
      <c r="G5" s="7">
        <v>1539</v>
      </c>
      <c r="H5" s="7">
        <v>213</v>
      </c>
      <c r="I5" s="7">
        <v>2664</v>
      </c>
      <c r="J5" s="7">
        <v>792</v>
      </c>
      <c r="K5" s="7">
        <v>2385</v>
      </c>
      <c r="L5" s="8">
        <v>2612</v>
      </c>
      <c r="N5" s="16"/>
      <c r="O5" s="16"/>
    </row>
    <row r="6" spans="1:15" x14ac:dyDescent="0.25">
      <c r="A6" s="2" t="s">
        <v>2</v>
      </c>
      <c r="B6" s="9">
        <v>983</v>
      </c>
      <c r="C6" s="10">
        <v>0</v>
      </c>
      <c r="D6" s="10">
        <v>1205</v>
      </c>
      <c r="E6" s="10">
        <v>1050</v>
      </c>
      <c r="F6" s="10">
        <v>2112</v>
      </c>
      <c r="G6" s="10">
        <v>1390</v>
      </c>
      <c r="H6" s="10">
        <v>840</v>
      </c>
      <c r="I6" s="10">
        <v>1729</v>
      </c>
      <c r="J6" s="10">
        <v>457</v>
      </c>
      <c r="K6" s="10">
        <v>2212</v>
      </c>
      <c r="L6" s="11">
        <v>2052</v>
      </c>
      <c r="N6" s="16"/>
      <c r="O6" s="16"/>
    </row>
    <row r="7" spans="1:15" x14ac:dyDescent="0.25">
      <c r="A7" t="s">
        <v>3</v>
      </c>
      <c r="B7" s="9">
        <v>1815</v>
      </c>
      <c r="C7" s="10">
        <v>1205</v>
      </c>
      <c r="D7" s="10">
        <v>0</v>
      </c>
      <c r="E7" s="10">
        <v>801</v>
      </c>
      <c r="F7" s="10">
        <v>1425</v>
      </c>
      <c r="G7" s="10">
        <v>1332</v>
      </c>
      <c r="H7" s="10">
        <v>1604</v>
      </c>
      <c r="I7" s="10">
        <v>1027</v>
      </c>
      <c r="J7" s="10">
        <v>1237</v>
      </c>
      <c r="K7" s="10">
        <v>1765</v>
      </c>
      <c r="L7" s="11">
        <v>2404</v>
      </c>
      <c r="N7" s="16"/>
      <c r="O7" s="16"/>
    </row>
    <row r="8" spans="1:15" x14ac:dyDescent="0.25">
      <c r="A8" t="s">
        <v>4</v>
      </c>
      <c r="B8" s="9">
        <v>1991</v>
      </c>
      <c r="C8" s="10">
        <v>1050</v>
      </c>
      <c r="D8" s="10">
        <v>801</v>
      </c>
      <c r="E8" s="10">
        <v>0</v>
      </c>
      <c r="F8" s="10">
        <v>1174</v>
      </c>
      <c r="G8" s="10">
        <v>2041</v>
      </c>
      <c r="H8" s="10">
        <v>1780</v>
      </c>
      <c r="I8" s="10">
        <v>836</v>
      </c>
      <c r="J8" s="10">
        <v>1411</v>
      </c>
      <c r="K8" s="10">
        <v>1765</v>
      </c>
      <c r="L8" s="11">
        <v>1373</v>
      </c>
      <c r="N8" s="16"/>
      <c r="O8" s="16"/>
    </row>
    <row r="9" spans="1:15" x14ac:dyDescent="0.25">
      <c r="A9" t="s">
        <v>9</v>
      </c>
      <c r="B9" s="9">
        <v>3036</v>
      </c>
      <c r="C9" s="10">
        <v>2112</v>
      </c>
      <c r="D9" s="10">
        <v>1425</v>
      </c>
      <c r="E9" s="10">
        <v>1174</v>
      </c>
      <c r="F9" s="10">
        <v>0</v>
      </c>
      <c r="G9" s="10">
        <v>2757</v>
      </c>
      <c r="H9" s="10">
        <v>2825</v>
      </c>
      <c r="I9" s="10">
        <v>398</v>
      </c>
      <c r="J9" s="10">
        <v>2456</v>
      </c>
      <c r="K9" s="10">
        <v>403</v>
      </c>
      <c r="L9" s="11">
        <v>1909</v>
      </c>
      <c r="N9" s="16"/>
      <c r="O9" s="16"/>
    </row>
    <row r="10" spans="1:15" x14ac:dyDescent="0.25">
      <c r="A10" t="s">
        <v>5</v>
      </c>
      <c r="B10" s="9">
        <v>1539</v>
      </c>
      <c r="C10" s="10">
        <v>1390</v>
      </c>
      <c r="D10" s="10">
        <v>1332</v>
      </c>
      <c r="E10" s="10">
        <v>2041</v>
      </c>
      <c r="F10" s="10">
        <v>2757</v>
      </c>
      <c r="G10" s="10">
        <v>0</v>
      </c>
      <c r="H10" s="10">
        <v>1258</v>
      </c>
      <c r="I10" s="10">
        <v>2359</v>
      </c>
      <c r="J10" s="10">
        <v>1250</v>
      </c>
      <c r="K10" s="10">
        <v>3097</v>
      </c>
      <c r="L10" s="11">
        <v>3389</v>
      </c>
      <c r="N10" s="16"/>
      <c r="O10" s="16"/>
    </row>
    <row r="11" spans="1:15" x14ac:dyDescent="0.25">
      <c r="A11" t="s">
        <v>11</v>
      </c>
      <c r="B11" s="9">
        <v>213</v>
      </c>
      <c r="C11" s="10">
        <v>840</v>
      </c>
      <c r="D11" s="10">
        <v>1604</v>
      </c>
      <c r="E11" s="10">
        <v>1780</v>
      </c>
      <c r="F11" s="10">
        <v>2825</v>
      </c>
      <c r="G11" s="10">
        <v>1258</v>
      </c>
      <c r="H11" s="10">
        <v>0</v>
      </c>
      <c r="I11" s="10">
        <v>2442</v>
      </c>
      <c r="J11" s="10">
        <v>386</v>
      </c>
      <c r="K11" s="10">
        <v>3036</v>
      </c>
      <c r="L11" s="11">
        <v>2900</v>
      </c>
    </row>
    <row r="12" spans="1:15" x14ac:dyDescent="0.25">
      <c r="A12" t="s">
        <v>6</v>
      </c>
      <c r="B12" s="9">
        <v>2664</v>
      </c>
      <c r="C12" s="10">
        <v>1729</v>
      </c>
      <c r="D12" s="10">
        <v>1027</v>
      </c>
      <c r="E12" s="10">
        <v>836</v>
      </c>
      <c r="F12" s="10">
        <v>398</v>
      </c>
      <c r="G12" s="10">
        <v>2359</v>
      </c>
      <c r="H12" s="10">
        <v>2442</v>
      </c>
      <c r="I12" s="10">
        <v>0</v>
      </c>
      <c r="J12" s="10">
        <v>2073</v>
      </c>
      <c r="K12" s="10">
        <v>800</v>
      </c>
      <c r="L12" s="11">
        <v>1482</v>
      </c>
    </row>
    <row r="13" spans="1:15" x14ac:dyDescent="0.25">
      <c r="A13" t="s">
        <v>7</v>
      </c>
      <c r="B13" s="9">
        <v>792</v>
      </c>
      <c r="C13" s="10">
        <v>457</v>
      </c>
      <c r="D13" s="10">
        <v>1237</v>
      </c>
      <c r="E13" s="10">
        <v>1411</v>
      </c>
      <c r="F13" s="10">
        <v>2456</v>
      </c>
      <c r="G13" s="10">
        <v>1250</v>
      </c>
      <c r="H13" s="10">
        <v>386</v>
      </c>
      <c r="I13" s="10">
        <v>2073</v>
      </c>
      <c r="J13" s="10">
        <v>0</v>
      </c>
      <c r="K13" s="10">
        <v>2653</v>
      </c>
      <c r="L13" s="11">
        <v>2517</v>
      </c>
    </row>
    <row r="14" spans="1:15" x14ac:dyDescent="0.25">
      <c r="A14" s="3" t="s">
        <v>10</v>
      </c>
      <c r="B14" s="9">
        <v>2385</v>
      </c>
      <c r="C14" s="10">
        <v>2212</v>
      </c>
      <c r="D14" s="10">
        <v>1765</v>
      </c>
      <c r="E14" s="10">
        <v>1765</v>
      </c>
      <c r="F14" s="10">
        <v>403</v>
      </c>
      <c r="G14" s="10">
        <v>3097</v>
      </c>
      <c r="H14" s="10">
        <v>3036</v>
      </c>
      <c r="I14" s="10">
        <v>800</v>
      </c>
      <c r="J14" s="10">
        <v>2653</v>
      </c>
      <c r="K14" s="10">
        <v>0</v>
      </c>
      <c r="L14" s="11">
        <v>817</v>
      </c>
    </row>
    <row r="15" spans="1:15" ht="13" thickBot="1" x14ac:dyDescent="0.3">
      <c r="A15" s="2" t="s">
        <v>8</v>
      </c>
      <c r="B15" s="12">
        <v>2612</v>
      </c>
      <c r="C15" s="13">
        <v>2052</v>
      </c>
      <c r="D15" s="13">
        <v>2404</v>
      </c>
      <c r="E15" s="13">
        <v>1373</v>
      </c>
      <c r="F15" s="13">
        <v>1909</v>
      </c>
      <c r="G15" s="13">
        <v>3389</v>
      </c>
      <c r="H15" s="13">
        <v>2900</v>
      </c>
      <c r="I15" s="13">
        <v>1482</v>
      </c>
      <c r="J15" s="13">
        <v>2517</v>
      </c>
      <c r="K15" s="13">
        <v>817</v>
      </c>
      <c r="L15" s="14">
        <v>0</v>
      </c>
    </row>
    <row r="17" spans="1:15" ht="13" x14ac:dyDescent="0.3">
      <c r="A17" s="42" t="s">
        <v>12</v>
      </c>
      <c r="B17" s="43"/>
    </row>
    <row r="18" spans="1:15" ht="13.5" thickBot="1" x14ac:dyDescent="0.35">
      <c r="A18" s="1"/>
      <c r="B18" s="4" t="s">
        <v>1</v>
      </c>
      <c r="C18" s="4" t="s">
        <v>2</v>
      </c>
      <c r="D18" s="4" t="s">
        <v>3</v>
      </c>
      <c r="E18" s="4" t="s">
        <v>4</v>
      </c>
      <c r="F18" s="4" t="s">
        <v>9</v>
      </c>
      <c r="G18" s="4" t="s">
        <v>5</v>
      </c>
      <c r="H18" s="4" t="s">
        <v>11</v>
      </c>
      <c r="I18" s="4" t="s">
        <v>6</v>
      </c>
      <c r="J18" s="4" t="s">
        <v>7</v>
      </c>
      <c r="K18" s="4" t="s">
        <v>10</v>
      </c>
      <c r="L18" s="4" t="s">
        <v>8</v>
      </c>
      <c r="M18" s="5" t="s">
        <v>18</v>
      </c>
      <c r="O18" s="5" t="s">
        <v>19</v>
      </c>
    </row>
    <row r="19" spans="1:15" ht="13.5" thickTop="1" thickBot="1" x14ac:dyDescent="0.3">
      <c r="A19" t="s">
        <v>13</v>
      </c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6"/>
      <c r="M19" s="5"/>
      <c r="N19" s="5"/>
      <c r="O19" s="24">
        <v>3</v>
      </c>
    </row>
    <row r="20" spans="1:15" ht="13" thickTop="1" x14ac:dyDescent="0.25"/>
    <row r="21" spans="1:15" ht="13" x14ac:dyDescent="0.3">
      <c r="A21" s="42" t="s">
        <v>14</v>
      </c>
      <c r="B21" s="43"/>
      <c r="C21" s="43"/>
      <c r="D21" s="43"/>
      <c r="E21" s="43"/>
      <c r="F21" s="43"/>
    </row>
    <row r="22" spans="1:15" ht="13" thickBot="1" x14ac:dyDescent="0.3">
      <c r="B22" s="5" t="s">
        <v>1</v>
      </c>
      <c r="C22" s="5" t="s">
        <v>2</v>
      </c>
      <c r="D22" s="5" t="s">
        <v>3</v>
      </c>
      <c r="E22" s="5" t="s">
        <v>4</v>
      </c>
      <c r="F22" s="5" t="s">
        <v>9</v>
      </c>
      <c r="G22" s="5" t="s">
        <v>5</v>
      </c>
      <c r="H22" s="5" t="s">
        <v>11</v>
      </c>
      <c r="I22" s="5" t="s">
        <v>6</v>
      </c>
      <c r="J22" s="5" t="s">
        <v>7</v>
      </c>
      <c r="K22" s="5" t="s">
        <v>10</v>
      </c>
      <c r="L22" s="5" t="s">
        <v>8</v>
      </c>
      <c r="M22" s="5" t="s">
        <v>20</v>
      </c>
      <c r="O22" s="5" t="s">
        <v>16</v>
      </c>
    </row>
    <row r="23" spans="1:15" ht="13" thickTop="1" x14ac:dyDescent="0.25">
      <c r="A23" s="2" t="s">
        <v>1</v>
      </c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7"/>
      <c r="M23" s="5"/>
      <c r="N23" s="5"/>
      <c r="O23" s="5"/>
    </row>
    <row r="24" spans="1:15" x14ac:dyDescent="0.25">
      <c r="A24" s="2" t="s">
        <v>2</v>
      </c>
      <c r="B24" s="48"/>
      <c r="C24" s="49"/>
      <c r="D24" s="49"/>
      <c r="E24" s="49"/>
      <c r="F24" s="49"/>
      <c r="G24" s="49"/>
      <c r="H24" s="49"/>
      <c r="I24" s="49"/>
      <c r="J24" s="49"/>
      <c r="K24" s="49"/>
      <c r="L24" s="50"/>
      <c r="M24" s="5"/>
      <c r="N24" s="5"/>
      <c r="O24" s="5"/>
    </row>
    <row r="25" spans="1:15" x14ac:dyDescent="0.25">
      <c r="A25" t="s">
        <v>3</v>
      </c>
      <c r="B25" s="48"/>
      <c r="C25" s="49"/>
      <c r="D25" s="49"/>
      <c r="E25" s="49"/>
      <c r="F25" s="49"/>
      <c r="G25" s="49"/>
      <c r="H25" s="49"/>
      <c r="I25" s="49"/>
      <c r="J25" s="49"/>
      <c r="K25" s="49"/>
      <c r="L25" s="50"/>
      <c r="M25" s="5"/>
      <c r="N25" s="5"/>
      <c r="O25" s="5"/>
    </row>
    <row r="26" spans="1:15" x14ac:dyDescent="0.25">
      <c r="A26" t="s">
        <v>4</v>
      </c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50"/>
      <c r="M26" s="5"/>
      <c r="N26" s="5"/>
      <c r="O26" s="5"/>
    </row>
    <row r="27" spans="1:15" x14ac:dyDescent="0.25">
      <c r="A27" t="s">
        <v>9</v>
      </c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50"/>
      <c r="M27" s="5"/>
      <c r="N27" s="5"/>
      <c r="O27" s="5"/>
    </row>
    <row r="28" spans="1:15" x14ac:dyDescent="0.25">
      <c r="A28" t="s">
        <v>5</v>
      </c>
      <c r="B28" s="48"/>
      <c r="C28" s="49"/>
      <c r="D28" s="49"/>
      <c r="E28" s="49"/>
      <c r="F28" s="49"/>
      <c r="G28" s="49"/>
      <c r="H28" s="49"/>
      <c r="I28" s="49"/>
      <c r="J28" s="49"/>
      <c r="K28" s="49"/>
      <c r="L28" s="50"/>
      <c r="M28" s="5"/>
      <c r="N28" s="5"/>
      <c r="O28" s="5"/>
    </row>
    <row r="29" spans="1:15" x14ac:dyDescent="0.25">
      <c r="A29" t="s">
        <v>11</v>
      </c>
      <c r="B29" s="48"/>
      <c r="C29" s="49"/>
      <c r="D29" s="49"/>
      <c r="E29" s="49"/>
      <c r="F29" s="49"/>
      <c r="G29" s="49"/>
      <c r="H29" s="49"/>
      <c r="I29" s="49"/>
      <c r="J29" s="49"/>
      <c r="K29" s="49"/>
      <c r="L29" s="50"/>
      <c r="M29" s="5"/>
      <c r="N29" s="5"/>
      <c r="O29" s="5"/>
    </row>
    <row r="30" spans="1:15" x14ac:dyDescent="0.25">
      <c r="A30" t="s">
        <v>6</v>
      </c>
      <c r="B30" s="48"/>
      <c r="C30" s="49"/>
      <c r="D30" s="49"/>
      <c r="E30" s="49"/>
      <c r="F30" s="49"/>
      <c r="G30" s="49"/>
      <c r="H30" s="49"/>
      <c r="I30" s="49"/>
      <c r="J30" s="49"/>
      <c r="K30" s="49"/>
      <c r="L30" s="50"/>
      <c r="M30" s="5"/>
      <c r="N30" s="5"/>
      <c r="O30" s="5"/>
    </row>
    <row r="31" spans="1:15" x14ac:dyDescent="0.25">
      <c r="A31" t="s">
        <v>7</v>
      </c>
      <c r="B31" s="48"/>
      <c r="C31" s="49"/>
      <c r="D31" s="49"/>
      <c r="E31" s="49"/>
      <c r="F31" s="49"/>
      <c r="G31" s="49"/>
      <c r="H31" s="49"/>
      <c r="I31" s="49"/>
      <c r="J31" s="49"/>
      <c r="K31" s="49"/>
      <c r="L31" s="50"/>
      <c r="M31" s="5"/>
      <c r="N31" s="5"/>
      <c r="O31" s="5"/>
    </row>
    <row r="32" spans="1:15" x14ac:dyDescent="0.25">
      <c r="A32" s="3" t="s">
        <v>10</v>
      </c>
      <c r="B32" s="48"/>
      <c r="C32" s="49"/>
      <c r="D32" s="49"/>
      <c r="E32" s="49"/>
      <c r="F32" s="49"/>
      <c r="G32" s="49"/>
      <c r="H32" s="49"/>
      <c r="I32" s="49"/>
      <c r="J32" s="49"/>
      <c r="K32" s="49"/>
      <c r="L32" s="50"/>
      <c r="M32" s="5"/>
      <c r="N32" s="5"/>
      <c r="O32" s="5"/>
    </row>
    <row r="33" spans="1:15" ht="13" thickBot="1" x14ac:dyDescent="0.3">
      <c r="A33" s="2" t="s">
        <v>8</v>
      </c>
      <c r="B33" s="51"/>
      <c r="C33" s="52"/>
      <c r="D33" s="52"/>
      <c r="E33" s="52"/>
      <c r="F33" s="52"/>
      <c r="G33" s="52"/>
      <c r="H33" s="52"/>
      <c r="I33" s="52"/>
      <c r="J33" s="52"/>
      <c r="K33" s="52"/>
      <c r="L33" s="53"/>
      <c r="M33" s="5"/>
      <c r="N33" s="5"/>
      <c r="O33" s="5"/>
    </row>
    <row r="34" spans="1:15" ht="13" thickTop="1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5" x14ac:dyDescent="0.25">
      <c r="A35" t="s">
        <v>15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5" x14ac:dyDescent="0.25">
      <c r="B36" s="26"/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15" x14ac:dyDescent="0.25">
      <c r="B37" s="29"/>
      <c r="C37" s="25"/>
      <c r="D37" s="25"/>
      <c r="E37" s="25"/>
      <c r="F37" s="25"/>
      <c r="G37" s="25"/>
      <c r="H37" s="25"/>
      <c r="I37" s="25"/>
      <c r="J37" s="25"/>
      <c r="K37" s="25"/>
      <c r="L37" s="30"/>
    </row>
    <row r="38" spans="1:15" x14ac:dyDescent="0.25">
      <c r="B38" s="29"/>
      <c r="C38" s="25"/>
      <c r="D38" s="25"/>
      <c r="E38" s="25"/>
      <c r="F38" s="25"/>
      <c r="G38" s="25"/>
      <c r="H38" s="25"/>
      <c r="I38" s="25"/>
      <c r="J38" s="25"/>
      <c r="K38" s="25"/>
      <c r="L38" s="30"/>
    </row>
    <row r="39" spans="1:15" x14ac:dyDescent="0.25">
      <c r="B39" s="29"/>
      <c r="C39" s="25"/>
      <c r="D39" s="25"/>
      <c r="E39" s="25"/>
      <c r="F39" s="25"/>
      <c r="G39" s="25"/>
      <c r="H39" s="25"/>
      <c r="I39" s="25"/>
      <c r="J39" s="25"/>
      <c r="K39" s="25"/>
      <c r="L39" s="30"/>
    </row>
    <row r="40" spans="1:15" x14ac:dyDescent="0.25">
      <c r="B40" s="29"/>
      <c r="C40" s="25"/>
      <c r="D40" s="25"/>
      <c r="E40" s="25"/>
      <c r="F40" s="25"/>
      <c r="G40" s="25"/>
      <c r="H40" s="25"/>
      <c r="I40" s="25"/>
      <c r="J40" s="25"/>
      <c r="K40" s="25"/>
      <c r="L40" s="30"/>
    </row>
    <row r="41" spans="1:15" x14ac:dyDescent="0.25">
      <c r="B41" s="29"/>
      <c r="C41" s="25"/>
      <c r="D41" s="25"/>
      <c r="E41" s="25"/>
      <c r="F41" s="25"/>
      <c r="G41" s="25"/>
      <c r="H41" s="25"/>
      <c r="I41" s="25"/>
      <c r="J41" s="25"/>
      <c r="K41" s="25"/>
      <c r="L41" s="30"/>
    </row>
    <row r="42" spans="1:15" x14ac:dyDescent="0.25">
      <c r="B42" s="29"/>
      <c r="C42" s="25"/>
      <c r="D42" s="25"/>
      <c r="E42" s="25"/>
      <c r="F42" s="25"/>
      <c r="G42" s="25"/>
      <c r="H42" s="25"/>
      <c r="I42" s="25"/>
      <c r="J42" s="25"/>
      <c r="K42" s="25"/>
      <c r="L42" s="30"/>
    </row>
    <row r="43" spans="1:15" x14ac:dyDescent="0.25">
      <c r="B43" s="29"/>
      <c r="C43" s="25"/>
      <c r="D43" s="25"/>
      <c r="E43" s="25"/>
      <c r="F43" s="25"/>
      <c r="G43" s="25"/>
      <c r="H43" s="25"/>
      <c r="I43" s="25"/>
      <c r="J43" s="25"/>
      <c r="K43" s="25"/>
      <c r="L43" s="30"/>
    </row>
    <row r="44" spans="1:15" x14ac:dyDescent="0.25">
      <c r="B44" s="29"/>
      <c r="C44" s="25"/>
      <c r="D44" s="25"/>
      <c r="E44" s="25"/>
      <c r="F44" s="25"/>
      <c r="G44" s="25"/>
      <c r="H44" s="25"/>
      <c r="I44" s="25"/>
      <c r="J44" s="25"/>
      <c r="K44" s="25"/>
      <c r="L44" s="30"/>
    </row>
    <row r="45" spans="1:15" x14ac:dyDescent="0.25">
      <c r="B45" s="29"/>
      <c r="C45" s="25"/>
      <c r="D45" s="25"/>
      <c r="E45" s="25"/>
      <c r="F45" s="25"/>
      <c r="G45" s="25"/>
      <c r="H45" s="25"/>
      <c r="I45" s="25"/>
      <c r="J45" s="25"/>
      <c r="K45" s="25"/>
      <c r="L45" s="30"/>
    </row>
    <row r="46" spans="1:15" x14ac:dyDescent="0.25"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3"/>
    </row>
    <row r="48" spans="1:15" ht="13" x14ac:dyDescent="0.3">
      <c r="A48" s="42" t="s">
        <v>22</v>
      </c>
      <c r="B48" s="43"/>
      <c r="C48" s="43"/>
      <c r="D48" s="43"/>
      <c r="E48" s="43"/>
      <c r="F48" s="43"/>
      <c r="G48" s="43"/>
    </row>
    <row r="49" spans="1:3" ht="13.5" thickBot="1" x14ac:dyDescent="0.35">
      <c r="A49" s="1"/>
      <c r="B49" s="4" t="s">
        <v>21</v>
      </c>
      <c r="C49" s="4" t="s">
        <v>17</v>
      </c>
    </row>
    <row r="50" spans="1:3" x14ac:dyDescent="0.25">
      <c r="A50" s="2" t="s">
        <v>1</v>
      </c>
      <c r="B50" s="18">
        <v>885</v>
      </c>
      <c r="C50" s="15"/>
    </row>
    <row r="51" spans="1:3" x14ac:dyDescent="0.25">
      <c r="A51" s="2" t="s">
        <v>2</v>
      </c>
      <c r="B51" s="19">
        <v>760</v>
      </c>
      <c r="C51" s="15"/>
    </row>
    <row r="52" spans="1:3" x14ac:dyDescent="0.25">
      <c r="A52" t="s">
        <v>3</v>
      </c>
      <c r="B52" s="19">
        <v>1124</v>
      </c>
      <c r="C52" s="15"/>
    </row>
    <row r="53" spans="1:3" x14ac:dyDescent="0.25">
      <c r="A53" t="s">
        <v>4</v>
      </c>
      <c r="B53" s="19">
        <v>708</v>
      </c>
      <c r="C53" s="15"/>
    </row>
    <row r="54" spans="1:3" x14ac:dyDescent="0.25">
      <c r="A54" t="s">
        <v>9</v>
      </c>
      <c r="B54" s="19">
        <v>1224</v>
      </c>
      <c r="C54" s="15"/>
    </row>
    <row r="55" spans="1:3" x14ac:dyDescent="0.25">
      <c r="A55" t="s">
        <v>5</v>
      </c>
      <c r="B55" s="19">
        <v>1152</v>
      </c>
      <c r="C55" s="15"/>
    </row>
    <row r="56" spans="1:3" x14ac:dyDescent="0.25">
      <c r="A56" t="s">
        <v>11</v>
      </c>
      <c r="B56" s="19">
        <v>1560</v>
      </c>
      <c r="C56" s="15"/>
    </row>
    <row r="57" spans="1:3" x14ac:dyDescent="0.25">
      <c r="A57" t="s">
        <v>6</v>
      </c>
      <c r="B57" s="19">
        <v>1222</v>
      </c>
      <c r="C57" s="15"/>
    </row>
    <row r="58" spans="1:3" x14ac:dyDescent="0.25">
      <c r="A58" t="s">
        <v>7</v>
      </c>
      <c r="B58" s="19">
        <v>856</v>
      </c>
      <c r="C58" s="15"/>
    </row>
    <row r="59" spans="1:3" x14ac:dyDescent="0.25">
      <c r="A59" s="3" t="s">
        <v>10</v>
      </c>
      <c r="B59" s="19">
        <v>1443</v>
      </c>
      <c r="C59" s="15"/>
    </row>
    <row r="60" spans="1:3" ht="13" thickBot="1" x14ac:dyDescent="0.3">
      <c r="A60" s="2" t="s">
        <v>8</v>
      </c>
      <c r="B60" s="20">
        <v>612</v>
      </c>
      <c r="C60" s="15"/>
    </row>
    <row r="61" spans="1:3" x14ac:dyDescent="0.25">
      <c r="A61" s="2"/>
    </row>
    <row r="62" spans="1:3" ht="13.5" thickBot="1" x14ac:dyDescent="0.35">
      <c r="A62" s="21" t="s">
        <v>23</v>
      </c>
      <c r="B62" s="22"/>
    </row>
    <row r="63" spans="1:3" ht="13.5" thickTop="1" thickBot="1" x14ac:dyDescent="0.3">
      <c r="A63" t="s">
        <v>17</v>
      </c>
      <c r="B63" s="23"/>
    </row>
    <row r="64" spans="1:3" ht="13" thickTop="1" x14ac:dyDescent="0.25"/>
    <row r="65" spans="1:1" ht="13" x14ac:dyDescent="0.3">
      <c r="A65" s="1"/>
    </row>
  </sheetData>
  <mergeCells count="1">
    <mergeCell ref="A1:B1"/>
  </mergeCells>
  <phoneticPr fontId="5" type="noConversion"/>
  <conditionalFormatting sqref="B19:L19">
    <cfRule type="cellIs" dxfId="11" priority="1" stopIfTrue="1" operator="greaterThan">
      <formula>0.5</formula>
    </cfRule>
  </conditionalFormatting>
  <conditionalFormatting sqref="B23:L33">
    <cfRule type="cellIs" dxfId="10" priority="2" operator="greaterThan">
      <formula>0.5</formula>
    </cfRule>
  </conditionalFormatting>
  <printOptions headings="1" gridLines="1"/>
  <pageMargins left="0.75" right="0.75" top="1" bottom="1" header="0.5" footer="0.5"/>
  <pageSetup scale="4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65"/>
  <sheetViews>
    <sheetView topLeftCell="A4" zoomScale="75" workbookViewId="0">
      <selection activeCell="J28" sqref="J28"/>
    </sheetView>
  </sheetViews>
  <sheetFormatPr defaultRowHeight="12.5" x14ac:dyDescent="0.25"/>
  <cols>
    <col min="1" max="1" width="23.08984375" customWidth="1"/>
    <col min="2" max="12" width="13.08984375" customWidth="1"/>
    <col min="13" max="13" width="19.453125" bestFit="1" customWidth="1"/>
    <col min="14" max="14" width="20.6328125" bestFit="1" customWidth="1"/>
  </cols>
  <sheetData>
    <row r="1" spans="1:15" ht="13" x14ac:dyDescent="0.3">
      <c r="A1" s="58" t="s">
        <v>26</v>
      </c>
      <c r="B1" s="58"/>
      <c r="C1" s="43"/>
      <c r="D1" s="43"/>
      <c r="E1" s="43"/>
    </row>
    <row r="3" spans="1:15" ht="13" x14ac:dyDescent="0.3">
      <c r="A3" s="42" t="s">
        <v>0</v>
      </c>
      <c r="B3" s="43"/>
      <c r="N3" s="1"/>
    </row>
    <row r="4" spans="1:15" ht="13" thickBot="1" x14ac:dyDescent="0.3">
      <c r="A4" s="2"/>
      <c r="B4" s="5" t="s">
        <v>1</v>
      </c>
      <c r="C4" s="5" t="s">
        <v>2</v>
      </c>
      <c r="D4" s="5" t="s">
        <v>3</v>
      </c>
      <c r="E4" s="5" t="s">
        <v>4</v>
      </c>
      <c r="F4" s="5" t="s">
        <v>9</v>
      </c>
      <c r="G4" s="5" t="s">
        <v>5</v>
      </c>
      <c r="H4" s="5" t="s">
        <v>11</v>
      </c>
      <c r="I4" s="5" t="s">
        <v>6</v>
      </c>
      <c r="J4" s="5" t="s">
        <v>7</v>
      </c>
      <c r="K4" s="5" t="s">
        <v>10</v>
      </c>
      <c r="L4" s="5" t="s">
        <v>8</v>
      </c>
      <c r="N4" s="17"/>
      <c r="O4" s="16"/>
    </row>
    <row r="5" spans="1:15" x14ac:dyDescent="0.25">
      <c r="A5" s="2" t="s">
        <v>1</v>
      </c>
      <c r="B5" s="6">
        <v>0</v>
      </c>
      <c r="C5" s="7">
        <v>983</v>
      </c>
      <c r="D5" s="7">
        <v>1815</v>
      </c>
      <c r="E5" s="7">
        <v>1991</v>
      </c>
      <c r="F5" s="7">
        <v>3036</v>
      </c>
      <c r="G5" s="7">
        <v>1539</v>
      </c>
      <c r="H5" s="7">
        <v>213</v>
      </c>
      <c r="I5" s="7">
        <v>2664</v>
      </c>
      <c r="J5" s="7">
        <v>792</v>
      </c>
      <c r="K5" s="7">
        <v>2385</v>
      </c>
      <c r="L5" s="8">
        <v>2612</v>
      </c>
      <c r="N5" s="16"/>
      <c r="O5" s="16"/>
    </row>
    <row r="6" spans="1:15" x14ac:dyDescent="0.25">
      <c r="A6" s="2" t="s">
        <v>2</v>
      </c>
      <c r="B6" s="9">
        <v>983</v>
      </c>
      <c r="C6" s="10">
        <v>0</v>
      </c>
      <c r="D6" s="10">
        <v>1205</v>
      </c>
      <c r="E6" s="10">
        <v>1050</v>
      </c>
      <c r="F6" s="10">
        <v>2112</v>
      </c>
      <c r="G6" s="10">
        <v>1390</v>
      </c>
      <c r="H6" s="10">
        <v>840</v>
      </c>
      <c r="I6" s="10">
        <v>1729</v>
      </c>
      <c r="J6" s="10">
        <v>457</v>
      </c>
      <c r="K6" s="10">
        <v>2212</v>
      </c>
      <c r="L6" s="11">
        <v>2052</v>
      </c>
      <c r="N6" s="16"/>
      <c r="O6" s="16"/>
    </row>
    <row r="7" spans="1:15" x14ac:dyDescent="0.25">
      <c r="A7" t="s">
        <v>3</v>
      </c>
      <c r="B7" s="9">
        <v>1815</v>
      </c>
      <c r="C7" s="10">
        <v>1205</v>
      </c>
      <c r="D7" s="10">
        <v>0</v>
      </c>
      <c r="E7" s="10">
        <v>801</v>
      </c>
      <c r="F7" s="10">
        <v>1425</v>
      </c>
      <c r="G7" s="10">
        <v>1332</v>
      </c>
      <c r="H7" s="10">
        <v>1604</v>
      </c>
      <c r="I7" s="10">
        <v>1027</v>
      </c>
      <c r="J7" s="10">
        <v>1237</v>
      </c>
      <c r="K7" s="10">
        <v>1765</v>
      </c>
      <c r="L7" s="11">
        <v>2404</v>
      </c>
      <c r="N7" s="16"/>
      <c r="O7" s="16"/>
    </row>
    <row r="8" spans="1:15" x14ac:dyDescent="0.25">
      <c r="A8" t="s">
        <v>4</v>
      </c>
      <c r="B8" s="9">
        <v>1991</v>
      </c>
      <c r="C8" s="10">
        <v>1050</v>
      </c>
      <c r="D8" s="10">
        <v>801</v>
      </c>
      <c r="E8" s="10">
        <v>0</v>
      </c>
      <c r="F8" s="10">
        <v>1174</v>
      </c>
      <c r="G8" s="10">
        <v>2041</v>
      </c>
      <c r="H8" s="10">
        <v>1780</v>
      </c>
      <c r="I8" s="10">
        <v>836</v>
      </c>
      <c r="J8" s="10">
        <v>1411</v>
      </c>
      <c r="K8" s="10">
        <v>1765</v>
      </c>
      <c r="L8" s="11">
        <v>1373</v>
      </c>
      <c r="N8" s="16"/>
      <c r="O8" s="16"/>
    </row>
    <row r="9" spans="1:15" x14ac:dyDescent="0.25">
      <c r="A9" t="s">
        <v>9</v>
      </c>
      <c r="B9" s="9">
        <v>3036</v>
      </c>
      <c r="C9" s="10">
        <v>2112</v>
      </c>
      <c r="D9" s="10">
        <v>1425</v>
      </c>
      <c r="E9" s="10">
        <v>1174</v>
      </c>
      <c r="F9" s="10">
        <v>0</v>
      </c>
      <c r="G9" s="10">
        <v>2757</v>
      </c>
      <c r="H9" s="10">
        <v>2825</v>
      </c>
      <c r="I9" s="10">
        <v>398</v>
      </c>
      <c r="J9" s="10">
        <v>2456</v>
      </c>
      <c r="K9" s="10">
        <v>403</v>
      </c>
      <c r="L9" s="11">
        <v>1909</v>
      </c>
      <c r="N9" s="16"/>
      <c r="O9" s="16"/>
    </row>
    <row r="10" spans="1:15" x14ac:dyDescent="0.25">
      <c r="A10" t="s">
        <v>5</v>
      </c>
      <c r="B10" s="9">
        <v>1539</v>
      </c>
      <c r="C10" s="10">
        <v>1390</v>
      </c>
      <c r="D10" s="10">
        <v>1332</v>
      </c>
      <c r="E10" s="10">
        <v>2041</v>
      </c>
      <c r="F10" s="10">
        <v>2757</v>
      </c>
      <c r="G10" s="10">
        <v>0</v>
      </c>
      <c r="H10" s="10">
        <v>1258</v>
      </c>
      <c r="I10" s="10">
        <v>2359</v>
      </c>
      <c r="J10" s="10">
        <v>1250</v>
      </c>
      <c r="K10" s="10">
        <v>3097</v>
      </c>
      <c r="L10" s="11">
        <v>3389</v>
      </c>
      <c r="N10" s="16"/>
      <c r="O10" s="16"/>
    </row>
    <row r="11" spans="1:15" x14ac:dyDescent="0.25">
      <c r="A11" t="s">
        <v>11</v>
      </c>
      <c r="B11" s="9">
        <v>213</v>
      </c>
      <c r="C11" s="10">
        <v>840</v>
      </c>
      <c r="D11" s="10">
        <v>1604</v>
      </c>
      <c r="E11" s="10">
        <v>1780</v>
      </c>
      <c r="F11" s="10">
        <v>2825</v>
      </c>
      <c r="G11" s="10">
        <v>1258</v>
      </c>
      <c r="H11" s="10">
        <v>0</v>
      </c>
      <c r="I11" s="10">
        <v>2442</v>
      </c>
      <c r="J11" s="10">
        <v>386</v>
      </c>
      <c r="K11" s="10">
        <v>3036</v>
      </c>
      <c r="L11" s="11">
        <v>2900</v>
      </c>
    </row>
    <row r="12" spans="1:15" x14ac:dyDescent="0.25">
      <c r="A12" t="s">
        <v>6</v>
      </c>
      <c r="B12" s="9">
        <v>2664</v>
      </c>
      <c r="C12" s="10">
        <v>1729</v>
      </c>
      <c r="D12" s="10">
        <v>1027</v>
      </c>
      <c r="E12" s="10">
        <v>836</v>
      </c>
      <c r="F12" s="10">
        <v>398</v>
      </c>
      <c r="G12" s="10">
        <v>2359</v>
      </c>
      <c r="H12" s="10">
        <v>2442</v>
      </c>
      <c r="I12" s="10">
        <v>0</v>
      </c>
      <c r="J12" s="10">
        <v>2073</v>
      </c>
      <c r="K12" s="10">
        <v>800</v>
      </c>
      <c r="L12" s="11">
        <v>1482</v>
      </c>
    </row>
    <row r="13" spans="1:15" x14ac:dyDescent="0.25">
      <c r="A13" t="s">
        <v>7</v>
      </c>
      <c r="B13" s="9">
        <v>792</v>
      </c>
      <c r="C13" s="10">
        <v>457</v>
      </c>
      <c r="D13" s="10">
        <v>1237</v>
      </c>
      <c r="E13" s="10">
        <v>1411</v>
      </c>
      <c r="F13" s="10">
        <v>2456</v>
      </c>
      <c r="G13" s="10">
        <v>1250</v>
      </c>
      <c r="H13" s="10">
        <v>386</v>
      </c>
      <c r="I13" s="10">
        <v>2073</v>
      </c>
      <c r="J13" s="10">
        <v>0</v>
      </c>
      <c r="K13" s="10">
        <v>2653</v>
      </c>
      <c r="L13" s="11">
        <v>2517</v>
      </c>
    </row>
    <row r="14" spans="1:15" x14ac:dyDescent="0.25">
      <c r="A14" s="3" t="s">
        <v>10</v>
      </c>
      <c r="B14" s="9">
        <v>2385</v>
      </c>
      <c r="C14" s="10">
        <v>2212</v>
      </c>
      <c r="D14" s="10">
        <v>1765</v>
      </c>
      <c r="E14" s="10">
        <v>1765</v>
      </c>
      <c r="F14" s="10">
        <v>403</v>
      </c>
      <c r="G14" s="10">
        <v>3097</v>
      </c>
      <c r="H14" s="10">
        <v>3036</v>
      </c>
      <c r="I14" s="10">
        <v>800</v>
      </c>
      <c r="J14" s="10">
        <v>2653</v>
      </c>
      <c r="K14" s="10">
        <v>0</v>
      </c>
      <c r="L14" s="11">
        <v>817</v>
      </c>
    </row>
    <row r="15" spans="1:15" ht="13" thickBot="1" x14ac:dyDescent="0.3">
      <c r="A15" s="2" t="s">
        <v>8</v>
      </c>
      <c r="B15" s="12">
        <v>2612</v>
      </c>
      <c r="C15" s="13">
        <v>2052</v>
      </c>
      <c r="D15" s="13">
        <v>2404</v>
      </c>
      <c r="E15" s="13">
        <v>1373</v>
      </c>
      <c r="F15" s="13">
        <v>1909</v>
      </c>
      <c r="G15" s="13">
        <v>3389</v>
      </c>
      <c r="H15" s="13">
        <v>2900</v>
      </c>
      <c r="I15" s="13">
        <v>1482</v>
      </c>
      <c r="J15" s="13">
        <v>2517</v>
      </c>
      <c r="K15" s="13">
        <v>817</v>
      </c>
      <c r="L15" s="14">
        <v>0</v>
      </c>
    </row>
    <row r="17" spans="1:15" ht="13" x14ac:dyDescent="0.3">
      <c r="A17" s="42" t="s">
        <v>12</v>
      </c>
      <c r="B17" s="43"/>
    </row>
    <row r="18" spans="1:15" ht="13.5" thickBot="1" x14ac:dyDescent="0.35">
      <c r="A18" s="1"/>
      <c r="B18" s="4" t="s">
        <v>1</v>
      </c>
      <c r="C18" s="4" t="s">
        <v>2</v>
      </c>
      <c r="D18" s="4" t="s">
        <v>3</v>
      </c>
      <c r="E18" s="4" t="s">
        <v>4</v>
      </c>
      <c r="F18" s="4" t="s">
        <v>9</v>
      </c>
      <c r="G18" s="4" t="s">
        <v>5</v>
      </c>
      <c r="H18" s="4" t="s">
        <v>11</v>
      </c>
      <c r="I18" s="4" t="s">
        <v>6</v>
      </c>
      <c r="J18" s="4" t="s">
        <v>7</v>
      </c>
      <c r="K18" s="4" t="s">
        <v>10</v>
      </c>
      <c r="L18" s="4" t="s">
        <v>8</v>
      </c>
      <c r="M18" s="5" t="s">
        <v>18</v>
      </c>
      <c r="O18" s="5" t="s">
        <v>19</v>
      </c>
    </row>
    <row r="19" spans="1:15" ht="13.5" thickTop="1" thickBot="1" x14ac:dyDescent="0.3">
      <c r="A19" t="s">
        <v>13</v>
      </c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6"/>
      <c r="M19" s="5"/>
      <c r="N19" s="5"/>
      <c r="O19" s="24">
        <v>3</v>
      </c>
    </row>
    <row r="20" spans="1:15" ht="13" thickTop="1" x14ac:dyDescent="0.25"/>
    <row r="21" spans="1:15" ht="13" x14ac:dyDescent="0.3">
      <c r="A21" s="42" t="s">
        <v>14</v>
      </c>
      <c r="B21" s="43"/>
      <c r="C21" s="43"/>
      <c r="D21" s="43"/>
      <c r="E21" s="43"/>
      <c r="F21" s="43"/>
    </row>
    <row r="22" spans="1:15" ht="13" thickBot="1" x14ac:dyDescent="0.3">
      <c r="B22" s="5" t="s">
        <v>1</v>
      </c>
      <c r="C22" s="5" t="s">
        <v>2</v>
      </c>
      <c r="D22" s="5" t="s">
        <v>3</v>
      </c>
      <c r="E22" s="5" t="s">
        <v>4</v>
      </c>
      <c r="F22" s="5" t="s">
        <v>9</v>
      </c>
      <c r="G22" s="5" t="s">
        <v>5</v>
      </c>
      <c r="H22" s="5" t="s">
        <v>11</v>
      </c>
      <c r="I22" s="5" t="s">
        <v>6</v>
      </c>
      <c r="J22" s="5" t="s">
        <v>7</v>
      </c>
      <c r="K22" s="5" t="s">
        <v>10</v>
      </c>
      <c r="L22" s="5" t="s">
        <v>8</v>
      </c>
      <c r="M22" s="5" t="s">
        <v>20</v>
      </c>
      <c r="O22" s="5" t="s">
        <v>16</v>
      </c>
    </row>
    <row r="23" spans="1:15" ht="13" thickTop="1" x14ac:dyDescent="0.25">
      <c r="A23" s="2" t="s">
        <v>1</v>
      </c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7"/>
      <c r="M23" s="5"/>
      <c r="N23" s="5"/>
      <c r="O23" s="5"/>
    </row>
    <row r="24" spans="1:15" x14ac:dyDescent="0.25">
      <c r="A24" s="2" t="s">
        <v>2</v>
      </c>
      <c r="B24" s="48"/>
      <c r="C24" s="49"/>
      <c r="D24" s="49"/>
      <c r="E24" s="49"/>
      <c r="F24" s="49"/>
      <c r="G24" s="49"/>
      <c r="H24" s="49"/>
      <c r="I24" s="49"/>
      <c r="J24" s="49"/>
      <c r="K24" s="49"/>
      <c r="L24" s="50"/>
      <c r="M24" s="5"/>
      <c r="N24" s="5"/>
      <c r="O24" s="5"/>
    </row>
    <row r="25" spans="1:15" x14ac:dyDescent="0.25">
      <c r="A25" t="s">
        <v>3</v>
      </c>
      <c r="B25" s="48"/>
      <c r="C25" s="49"/>
      <c r="D25" s="49"/>
      <c r="E25" s="49"/>
      <c r="F25" s="49"/>
      <c r="G25" s="49"/>
      <c r="H25" s="49"/>
      <c r="I25" s="49"/>
      <c r="J25" s="49"/>
      <c r="K25" s="49"/>
      <c r="L25" s="50"/>
      <c r="M25" s="5"/>
      <c r="N25" s="5"/>
      <c r="O25" s="5"/>
    </row>
    <row r="26" spans="1:15" x14ac:dyDescent="0.25">
      <c r="A26" t="s">
        <v>4</v>
      </c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50"/>
      <c r="M26" s="5"/>
      <c r="N26" s="5"/>
      <c r="O26" s="5"/>
    </row>
    <row r="27" spans="1:15" x14ac:dyDescent="0.25">
      <c r="A27" t="s">
        <v>9</v>
      </c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50"/>
      <c r="M27" s="5"/>
      <c r="N27" s="5"/>
      <c r="O27" s="5"/>
    </row>
    <row r="28" spans="1:15" x14ac:dyDescent="0.25">
      <c r="A28" t="s">
        <v>5</v>
      </c>
      <c r="B28" s="48"/>
      <c r="C28" s="49"/>
      <c r="D28" s="49"/>
      <c r="E28" s="49"/>
      <c r="F28" s="49"/>
      <c r="G28" s="49"/>
      <c r="H28" s="49"/>
      <c r="I28" s="49"/>
      <c r="J28" s="49"/>
      <c r="K28" s="49"/>
      <c r="L28" s="50"/>
      <c r="M28" s="5"/>
      <c r="N28" s="5"/>
      <c r="O28" s="5"/>
    </row>
    <row r="29" spans="1:15" x14ac:dyDescent="0.25">
      <c r="A29" t="s">
        <v>11</v>
      </c>
      <c r="B29" s="48"/>
      <c r="C29" s="49"/>
      <c r="D29" s="49"/>
      <c r="E29" s="49"/>
      <c r="F29" s="49"/>
      <c r="G29" s="49"/>
      <c r="H29" s="49"/>
      <c r="I29" s="49"/>
      <c r="J29" s="49"/>
      <c r="K29" s="49"/>
      <c r="L29" s="50"/>
      <c r="M29" s="5"/>
      <c r="N29" s="5"/>
      <c r="O29" s="5"/>
    </row>
    <row r="30" spans="1:15" x14ac:dyDescent="0.25">
      <c r="A30" t="s">
        <v>6</v>
      </c>
      <c r="B30" s="48"/>
      <c r="C30" s="49"/>
      <c r="D30" s="49"/>
      <c r="E30" s="49"/>
      <c r="F30" s="49"/>
      <c r="G30" s="49"/>
      <c r="H30" s="49"/>
      <c r="I30" s="49"/>
      <c r="J30" s="49"/>
      <c r="K30" s="49"/>
      <c r="L30" s="50"/>
      <c r="M30" s="5"/>
      <c r="N30" s="5"/>
      <c r="O30" s="5"/>
    </row>
    <row r="31" spans="1:15" x14ac:dyDescent="0.25">
      <c r="A31" t="s">
        <v>7</v>
      </c>
      <c r="B31" s="48"/>
      <c r="C31" s="49"/>
      <c r="D31" s="49"/>
      <c r="E31" s="49"/>
      <c r="F31" s="49"/>
      <c r="G31" s="49"/>
      <c r="H31" s="49"/>
      <c r="I31" s="49"/>
      <c r="J31" s="49"/>
      <c r="K31" s="49"/>
      <c r="L31" s="50"/>
      <c r="M31" s="5"/>
      <c r="N31" s="5"/>
      <c r="O31" s="5"/>
    </row>
    <row r="32" spans="1:15" x14ac:dyDescent="0.25">
      <c r="A32" s="3" t="s">
        <v>10</v>
      </c>
      <c r="B32" s="48"/>
      <c r="C32" s="49"/>
      <c r="D32" s="49"/>
      <c r="E32" s="49"/>
      <c r="F32" s="49"/>
      <c r="G32" s="49"/>
      <c r="H32" s="49"/>
      <c r="I32" s="49"/>
      <c r="J32" s="49"/>
      <c r="K32" s="49"/>
      <c r="L32" s="50"/>
      <c r="M32" s="5"/>
      <c r="N32" s="5"/>
      <c r="O32" s="5"/>
    </row>
    <row r="33" spans="1:15" ht="13" thickBot="1" x14ac:dyDescent="0.3">
      <c r="A33" s="2" t="s">
        <v>8</v>
      </c>
      <c r="B33" s="51"/>
      <c r="C33" s="52"/>
      <c r="D33" s="52"/>
      <c r="E33" s="52"/>
      <c r="F33" s="52"/>
      <c r="G33" s="52"/>
      <c r="H33" s="52"/>
      <c r="I33" s="52"/>
      <c r="J33" s="52"/>
      <c r="K33" s="52"/>
      <c r="L33" s="53"/>
      <c r="M33" s="5"/>
      <c r="N33" s="5"/>
      <c r="O33" s="5"/>
    </row>
    <row r="34" spans="1:15" ht="13" thickTop="1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5" x14ac:dyDescent="0.25">
      <c r="A35" t="s">
        <v>15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5" x14ac:dyDescent="0.25">
      <c r="B36" s="26"/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15" x14ac:dyDescent="0.25">
      <c r="B37" s="29"/>
      <c r="C37" s="25"/>
      <c r="D37" s="25"/>
      <c r="E37" s="25"/>
      <c r="F37" s="25"/>
      <c r="G37" s="25"/>
      <c r="H37" s="25"/>
      <c r="I37" s="25"/>
      <c r="J37" s="25"/>
      <c r="K37" s="25"/>
      <c r="L37" s="30"/>
    </row>
    <row r="38" spans="1:15" x14ac:dyDescent="0.25">
      <c r="B38" s="29"/>
      <c r="C38" s="25"/>
      <c r="D38" s="25"/>
      <c r="E38" s="25"/>
      <c r="F38" s="25"/>
      <c r="G38" s="25"/>
      <c r="H38" s="25"/>
      <c r="I38" s="25"/>
      <c r="J38" s="25"/>
      <c r="K38" s="25"/>
      <c r="L38" s="30"/>
    </row>
    <row r="39" spans="1:15" x14ac:dyDescent="0.25">
      <c r="B39" s="29"/>
      <c r="C39" s="25"/>
      <c r="D39" s="25"/>
      <c r="E39" s="25"/>
      <c r="F39" s="25"/>
      <c r="G39" s="25"/>
      <c r="H39" s="25"/>
      <c r="I39" s="25"/>
      <c r="J39" s="25"/>
      <c r="K39" s="25"/>
      <c r="L39" s="30"/>
    </row>
    <row r="40" spans="1:15" x14ac:dyDescent="0.25">
      <c r="B40" s="29"/>
      <c r="C40" s="25"/>
      <c r="D40" s="25"/>
      <c r="E40" s="25"/>
      <c r="F40" s="25"/>
      <c r="G40" s="25"/>
      <c r="H40" s="25"/>
      <c r="I40" s="25"/>
      <c r="J40" s="25"/>
      <c r="K40" s="25"/>
      <c r="L40" s="30"/>
    </row>
    <row r="41" spans="1:15" x14ac:dyDescent="0.25">
      <c r="B41" s="29"/>
      <c r="C41" s="25"/>
      <c r="D41" s="25"/>
      <c r="E41" s="25"/>
      <c r="F41" s="25"/>
      <c r="G41" s="25"/>
      <c r="H41" s="25"/>
      <c r="I41" s="25"/>
      <c r="J41" s="25"/>
      <c r="K41" s="25"/>
      <c r="L41" s="30"/>
    </row>
    <row r="42" spans="1:15" x14ac:dyDescent="0.25">
      <c r="B42" s="29"/>
      <c r="C42" s="25"/>
      <c r="D42" s="25"/>
      <c r="E42" s="25"/>
      <c r="F42" s="25"/>
      <c r="G42" s="25"/>
      <c r="H42" s="25"/>
      <c r="I42" s="25"/>
      <c r="J42" s="25"/>
      <c r="K42" s="25"/>
      <c r="L42" s="30"/>
    </row>
    <row r="43" spans="1:15" x14ac:dyDescent="0.25">
      <c r="B43" s="29"/>
      <c r="C43" s="25"/>
      <c r="D43" s="25"/>
      <c r="E43" s="25"/>
      <c r="F43" s="25"/>
      <c r="G43" s="25"/>
      <c r="H43" s="25"/>
      <c r="I43" s="25"/>
      <c r="J43" s="25"/>
      <c r="K43" s="25"/>
      <c r="L43" s="30"/>
    </row>
    <row r="44" spans="1:15" x14ac:dyDescent="0.25">
      <c r="B44" s="29"/>
      <c r="C44" s="25"/>
      <c r="D44" s="25"/>
      <c r="E44" s="25"/>
      <c r="F44" s="25"/>
      <c r="G44" s="25"/>
      <c r="H44" s="25"/>
      <c r="I44" s="25"/>
      <c r="J44" s="25"/>
      <c r="K44" s="25"/>
      <c r="L44" s="30"/>
    </row>
    <row r="45" spans="1:15" x14ac:dyDescent="0.25">
      <c r="B45" s="29"/>
      <c r="C45" s="25"/>
      <c r="D45" s="25"/>
      <c r="E45" s="25"/>
      <c r="F45" s="25"/>
      <c r="G45" s="25"/>
      <c r="H45" s="25"/>
      <c r="I45" s="25"/>
      <c r="J45" s="25"/>
      <c r="K45" s="25"/>
      <c r="L45" s="30"/>
    </row>
    <row r="46" spans="1:15" x14ac:dyDescent="0.25"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3"/>
    </row>
    <row r="48" spans="1:15" ht="13" x14ac:dyDescent="0.3">
      <c r="A48" s="42" t="s">
        <v>22</v>
      </c>
      <c r="B48" s="43"/>
      <c r="C48" s="43"/>
      <c r="D48" s="43"/>
      <c r="E48" s="43"/>
      <c r="F48" s="43"/>
      <c r="G48" s="43"/>
    </row>
    <row r="49" spans="1:3" ht="13.5" thickBot="1" x14ac:dyDescent="0.35">
      <c r="A49" s="1"/>
      <c r="B49" s="4" t="s">
        <v>21</v>
      </c>
      <c r="C49" s="4" t="s">
        <v>17</v>
      </c>
    </row>
    <row r="50" spans="1:3" x14ac:dyDescent="0.25">
      <c r="A50" s="2" t="s">
        <v>1</v>
      </c>
      <c r="B50" s="18">
        <v>885</v>
      </c>
      <c r="C50" s="15"/>
    </row>
    <row r="51" spans="1:3" x14ac:dyDescent="0.25">
      <c r="A51" s="2" t="s">
        <v>2</v>
      </c>
      <c r="B51" s="19">
        <v>760</v>
      </c>
      <c r="C51" s="15"/>
    </row>
    <row r="52" spans="1:3" x14ac:dyDescent="0.25">
      <c r="A52" t="s">
        <v>3</v>
      </c>
      <c r="B52" s="19">
        <v>1124</v>
      </c>
      <c r="C52" s="15"/>
    </row>
    <row r="53" spans="1:3" x14ac:dyDescent="0.25">
      <c r="A53" t="s">
        <v>4</v>
      </c>
      <c r="B53" s="19">
        <v>708</v>
      </c>
      <c r="C53" s="15"/>
    </row>
    <row r="54" spans="1:3" x14ac:dyDescent="0.25">
      <c r="A54" t="s">
        <v>9</v>
      </c>
      <c r="B54" s="19">
        <v>1224</v>
      </c>
      <c r="C54" s="15"/>
    </row>
    <row r="55" spans="1:3" x14ac:dyDescent="0.25">
      <c r="A55" t="s">
        <v>5</v>
      </c>
      <c r="B55" s="19">
        <v>1152</v>
      </c>
      <c r="C55" s="15"/>
    </row>
    <row r="56" spans="1:3" x14ac:dyDescent="0.25">
      <c r="A56" t="s">
        <v>11</v>
      </c>
      <c r="B56" s="19">
        <v>1560</v>
      </c>
      <c r="C56" s="15"/>
    </row>
    <row r="57" spans="1:3" x14ac:dyDescent="0.25">
      <c r="A57" t="s">
        <v>6</v>
      </c>
      <c r="B57" s="19">
        <v>1222</v>
      </c>
      <c r="C57" s="15"/>
    </row>
    <row r="58" spans="1:3" x14ac:dyDescent="0.25">
      <c r="A58" t="s">
        <v>7</v>
      </c>
      <c r="B58" s="19">
        <v>856</v>
      </c>
      <c r="C58" s="15"/>
    </row>
    <row r="59" spans="1:3" x14ac:dyDescent="0.25">
      <c r="A59" s="3" t="s">
        <v>10</v>
      </c>
      <c r="B59" s="19">
        <v>1443</v>
      </c>
      <c r="C59" s="15"/>
    </row>
    <row r="60" spans="1:3" ht="13" thickBot="1" x14ac:dyDescent="0.3">
      <c r="A60" s="2" t="s">
        <v>8</v>
      </c>
      <c r="B60" s="20">
        <v>612</v>
      </c>
      <c r="C60" s="15"/>
    </row>
    <row r="61" spans="1:3" x14ac:dyDescent="0.25">
      <c r="A61" s="2"/>
    </row>
    <row r="62" spans="1:3" ht="13.5" thickBot="1" x14ac:dyDescent="0.35">
      <c r="A62" s="21" t="s">
        <v>23</v>
      </c>
      <c r="B62" s="22"/>
    </row>
    <row r="63" spans="1:3" ht="13.5" thickTop="1" thickBot="1" x14ac:dyDescent="0.3">
      <c r="A63" t="s">
        <v>17</v>
      </c>
      <c r="B63" s="23"/>
    </row>
    <row r="64" spans="1:3" ht="13" thickTop="1" x14ac:dyDescent="0.25"/>
    <row r="65" spans="1:1" ht="13" x14ac:dyDescent="0.3">
      <c r="A65" s="1"/>
    </row>
  </sheetData>
  <mergeCells count="1">
    <mergeCell ref="A1:B1"/>
  </mergeCells>
  <phoneticPr fontId="3" type="noConversion"/>
  <conditionalFormatting sqref="B19:L19">
    <cfRule type="cellIs" dxfId="9" priority="1" stopIfTrue="1" operator="greaterThan">
      <formula>0.5</formula>
    </cfRule>
  </conditionalFormatting>
  <conditionalFormatting sqref="B23:L33">
    <cfRule type="cellIs" dxfId="8" priority="2" operator="greaterThan">
      <formula>0.5</formula>
    </cfRule>
  </conditionalFormatting>
  <printOptions headings="1" gridLines="1"/>
  <pageMargins left="0.75" right="0.75" top="1" bottom="1" header="0.5" footer="0.5"/>
  <pageSetup scale="4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5"/>
  <sheetViews>
    <sheetView tabSelected="1" zoomScale="75" workbookViewId="0">
      <selection activeCell="I75" sqref="I75"/>
    </sheetView>
  </sheetViews>
  <sheetFormatPr defaultRowHeight="12.5" x14ac:dyDescent="0.25"/>
  <cols>
    <col min="1" max="1" width="23.08984375" customWidth="1"/>
    <col min="2" max="12" width="13.08984375" customWidth="1"/>
    <col min="13" max="13" width="19.453125" bestFit="1" customWidth="1"/>
    <col min="14" max="14" width="20.6328125" bestFit="1" customWidth="1"/>
  </cols>
  <sheetData>
    <row r="1" spans="1:15" ht="13" x14ac:dyDescent="0.3">
      <c r="A1" s="58" t="s">
        <v>26</v>
      </c>
      <c r="B1" s="58"/>
      <c r="C1" s="43"/>
      <c r="D1" s="43"/>
      <c r="E1" s="43"/>
    </row>
    <row r="3" spans="1:15" ht="13" x14ac:dyDescent="0.3">
      <c r="A3" s="42" t="s">
        <v>0</v>
      </c>
      <c r="B3" s="43"/>
      <c r="N3" s="1"/>
    </row>
    <row r="4" spans="1:15" ht="13" thickBot="1" x14ac:dyDescent="0.3">
      <c r="A4" s="2"/>
      <c r="B4" s="4" t="s">
        <v>1</v>
      </c>
      <c r="C4" s="4" t="s">
        <v>2</v>
      </c>
      <c r="D4" s="4" t="s">
        <v>3</v>
      </c>
      <c r="E4" s="4" t="s">
        <v>4</v>
      </c>
      <c r="F4" s="4" t="s">
        <v>9</v>
      </c>
      <c r="G4" s="4" t="s">
        <v>5</v>
      </c>
      <c r="H4" s="4" t="s">
        <v>11</v>
      </c>
      <c r="I4" s="4" t="s">
        <v>6</v>
      </c>
      <c r="J4" s="4" t="s">
        <v>7</v>
      </c>
      <c r="K4" s="4" t="s">
        <v>10</v>
      </c>
      <c r="L4" s="4" t="s">
        <v>8</v>
      </c>
      <c r="N4" s="17"/>
      <c r="O4" s="16"/>
    </row>
    <row r="5" spans="1:15" x14ac:dyDescent="0.25">
      <c r="A5" s="2" t="s">
        <v>1</v>
      </c>
      <c r="B5" s="6">
        <v>0</v>
      </c>
      <c r="C5" s="7">
        <v>983</v>
      </c>
      <c r="D5" s="7">
        <v>1815</v>
      </c>
      <c r="E5" s="7">
        <v>1991</v>
      </c>
      <c r="F5" s="7">
        <v>3036</v>
      </c>
      <c r="G5" s="7">
        <v>1539</v>
      </c>
      <c r="H5" s="7">
        <v>213</v>
      </c>
      <c r="I5" s="7">
        <v>2664</v>
      </c>
      <c r="J5" s="7">
        <v>792</v>
      </c>
      <c r="K5" s="7">
        <v>2385</v>
      </c>
      <c r="L5" s="8">
        <v>2612</v>
      </c>
      <c r="N5" s="16"/>
      <c r="O5" s="16"/>
    </row>
    <row r="6" spans="1:15" x14ac:dyDescent="0.25">
      <c r="A6" s="2" t="s">
        <v>2</v>
      </c>
      <c r="B6" s="9">
        <v>983</v>
      </c>
      <c r="C6" s="10">
        <v>0</v>
      </c>
      <c r="D6" s="10">
        <v>1205</v>
      </c>
      <c r="E6" s="10">
        <v>1050</v>
      </c>
      <c r="F6" s="10">
        <v>2112</v>
      </c>
      <c r="G6" s="10">
        <v>1390</v>
      </c>
      <c r="H6" s="10">
        <v>840</v>
      </c>
      <c r="I6" s="10">
        <v>1729</v>
      </c>
      <c r="J6" s="10">
        <v>457</v>
      </c>
      <c r="K6" s="10">
        <v>2212</v>
      </c>
      <c r="L6" s="11">
        <v>2052</v>
      </c>
      <c r="N6" s="16"/>
      <c r="O6" s="16"/>
    </row>
    <row r="7" spans="1:15" x14ac:dyDescent="0.25">
      <c r="A7" t="s">
        <v>3</v>
      </c>
      <c r="B7" s="9">
        <v>1815</v>
      </c>
      <c r="C7" s="10">
        <v>1205</v>
      </c>
      <c r="D7" s="10">
        <v>0</v>
      </c>
      <c r="E7" s="10">
        <v>801</v>
      </c>
      <c r="F7" s="10">
        <v>1425</v>
      </c>
      <c r="G7" s="10">
        <v>1332</v>
      </c>
      <c r="H7" s="10">
        <v>1604</v>
      </c>
      <c r="I7" s="10">
        <v>1027</v>
      </c>
      <c r="J7" s="10">
        <v>1237</v>
      </c>
      <c r="K7" s="10">
        <v>1765</v>
      </c>
      <c r="L7" s="11">
        <v>2404</v>
      </c>
      <c r="N7" s="16"/>
      <c r="O7" s="16"/>
    </row>
    <row r="8" spans="1:15" x14ac:dyDescent="0.25">
      <c r="A8" t="s">
        <v>4</v>
      </c>
      <c r="B8" s="9">
        <v>1991</v>
      </c>
      <c r="C8" s="10">
        <v>1050</v>
      </c>
      <c r="D8" s="10">
        <v>801</v>
      </c>
      <c r="E8" s="10">
        <v>0</v>
      </c>
      <c r="F8" s="10">
        <v>1174</v>
      </c>
      <c r="G8" s="10">
        <v>2041</v>
      </c>
      <c r="H8" s="10">
        <v>1780</v>
      </c>
      <c r="I8" s="10">
        <v>836</v>
      </c>
      <c r="J8" s="10">
        <v>1411</v>
      </c>
      <c r="K8" s="10">
        <v>1765</v>
      </c>
      <c r="L8" s="11">
        <v>1373</v>
      </c>
      <c r="N8" s="16"/>
      <c r="O8" s="16"/>
    </row>
    <row r="9" spans="1:15" x14ac:dyDescent="0.25">
      <c r="A9" t="s">
        <v>9</v>
      </c>
      <c r="B9" s="9">
        <v>3036</v>
      </c>
      <c r="C9" s="10">
        <v>2112</v>
      </c>
      <c r="D9" s="10">
        <v>1425</v>
      </c>
      <c r="E9" s="10">
        <v>1174</v>
      </c>
      <c r="F9" s="10">
        <v>0</v>
      </c>
      <c r="G9" s="10">
        <v>2757</v>
      </c>
      <c r="H9" s="10">
        <v>2825</v>
      </c>
      <c r="I9" s="10">
        <v>398</v>
      </c>
      <c r="J9" s="10">
        <v>2456</v>
      </c>
      <c r="K9" s="10">
        <v>403</v>
      </c>
      <c r="L9" s="11">
        <v>1909</v>
      </c>
      <c r="N9" s="16"/>
      <c r="O9" s="16"/>
    </row>
    <row r="10" spans="1:15" x14ac:dyDescent="0.25">
      <c r="A10" t="s">
        <v>5</v>
      </c>
      <c r="B10" s="9">
        <v>1539</v>
      </c>
      <c r="C10" s="10">
        <v>1390</v>
      </c>
      <c r="D10" s="10">
        <v>1332</v>
      </c>
      <c r="E10" s="10">
        <v>2041</v>
      </c>
      <c r="F10" s="10">
        <v>2757</v>
      </c>
      <c r="G10" s="10">
        <v>0</v>
      </c>
      <c r="H10" s="10">
        <v>1258</v>
      </c>
      <c r="I10" s="10">
        <v>2359</v>
      </c>
      <c r="J10" s="10">
        <v>1250</v>
      </c>
      <c r="K10" s="10">
        <v>3097</v>
      </c>
      <c r="L10" s="11">
        <v>3389</v>
      </c>
      <c r="N10" s="16"/>
      <c r="O10" s="16"/>
    </row>
    <row r="11" spans="1:15" x14ac:dyDescent="0.25">
      <c r="A11" t="s">
        <v>11</v>
      </c>
      <c r="B11" s="9">
        <v>213</v>
      </c>
      <c r="C11" s="10">
        <v>840</v>
      </c>
      <c r="D11" s="10">
        <v>1604</v>
      </c>
      <c r="E11" s="10">
        <v>1780</v>
      </c>
      <c r="F11" s="10">
        <v>2825</v>
      </c>
      <c r="G11" s="10">
        <v>1258</v>
      </c>
      <c r="H11" s="10">
        <v>0</v>
      </c>
      <c r="I11" s="10">
        <v>2442</v>
      </c>
      <c r="J11" s="10">
        <v>386</v>
      </c>
      <c r="K11" s="10">
        <v>3036</v>
      </c>
      <c r="L11" s="11">
        <v>2900</v>
      </c>
    </row>
    <row r="12" spans="1:15" x14ac:dyDescent="0.25">
      <c r="A12" t="s">
        <v>6</v>
      </c>
      <c r="B12" s="9">
        <v>2664</v>
      </c>
      <c r="C12" s="10">
        <v>1729</v>
      </c>
      <c r="D12" s="10">
        <v>1027</v>
      </c>
      <c r="E12" s="10">
        <v>836</v>
      </c>
      <c r="F12" s="10">
        <v>398</v>
      </c>
      <c r="G12" s="10">
        <v>2359</v>
      </c>
      <c r="H12" s="10">
        <v>2442</v>
      </c>
      <c r="I12" s="10">
        <v>0</v>
      </c>
      <c r="J12" s="10">
        <v>2073</v>
      </c>
      <c r="K12" s="10">
        <v>800</v>
      </c>
      <c r="L12" s="11">
        <v>1482</v>
      </c>
    </row>
    <row r="13" spans="1:15" x14ac:dyDescent="0.25">
      <c r="A13" t="s">
        <v>7</v>
      </c>
      <c r="B13" s="9">
        <v>792</v>
      </c>
      <c r="C13" s="10">
        <v>457</v>
      </c>
      <c r="D13" s="10">
        <v>1237</v>
      </c>
      <c r="E13" s="10">
        <v>1411</v>
      </c>
      <c r="F13" s="10">
        <v>2456</v>
      </c>
      <c r="G13" s="10">
        <v>1250</v>
      </c>
      <c r="H13" s="10">
        <v>386</v>
      </c>
      <c r="I13" s="10">
        <v>2073</v>
      </c>
      <c r="J13" s="10">
        <v>0</v>
      </c>
      <c r="K13" s="10">
        <v>2653</v>
      </c>
      <c r="L13" s="11">
        <v>2517</v>
      </c>
    </row>
    <row r="14" spans="1:15" x14ac:dyDescent="0.25">
      <c r="A14" s="3" t="s">
        <v>10</v>
      </c>
      <c r="B14" s="9">
        <v>2385</v>
      </c>
      <c r="C14" s="10">
        <v>2212</v>
      </c>
      <c r="D14" s="10">
        <v>1765</v>
      </c>
      <c r="E14" s="10">
        <v>1765</v>
      </c>
      <c r="F14" s="10">
        <v>403</v>
      </c>
      <c r="G14" s="10">
        <v>3097</v>
      </c>
      <c r="H14" s="10">
        <v>3036</v>
      </c>
      <c r="I14" s="10">
        <v>800</v>
      </c>
      <c r="J14" s="10">
        <v>2653</v>
      </c>
      <c r="K14" s="10">
        <v>0</v>
      </c>
      <c r="L14" s="11">
        <v>817</v>
      </c>
    </row>
    <row r="15" spans="1:15" ht="13" thickBot="1" x14ac:dyDescent="0.3">
      <c r="A15" s="2" t="s">
        <v>8</v>
      </c>
      <c r="B15" s="12">
        <v>2612</v>
      </c>
      <c r="C15" s="13">
        <v>2052</v>
      </c>
      <c r="D15" s="13">
        <v>2404</v>
      </c>
      <c r="E15" s="13">
        <v>1373</v>
      </c>
      <c r="F15" s="13">
        <v>1909</v>
      </c>
      <c r="G15" s="13">
        <v>3389</v>
      </c>
      <c r="H15" s="13">
        <v>2900</v>
      </c>
      <c r="I15" s="13">
        <v>1482</v>
      </c>
      <c r="J15" s="13">
        <v>2517</v>
      </c>
      <c r="K15" s="13">
        <v>817</v>
      </c>
      <c r="L15" s="14">
        <v>0</v>
      </c>
    </row>
    <row r="17" spans="1:15" ht="13" x14ac:dyDescent="0.3">
      <c r="A17" s="42" t="s">
        <v>12</v>
      </c>
      <c r="B17" s="43"/>
    </row>
    <row r="18" spans="1:15" ht="13.5" thickBot="1" x14ac:dyDescent="0.35">
      <c r="A18" s="1"/>
      <c r="B18" s="4" t="s">
        <v>1</v>
      </c>
      <c r="C18" s="4" t="s">
        <v>2</v>
      </c>
      <c r="D18" s="4" t="s">
        <v>3</v>
      </c>
      <c r="E18" s="4" t="s">
        <v>4</v>
      </c>
      <c r="F18" s="4" t="s">
        <v>9</v>
      </c>
      <c r="G18" s="4" t="s">
        <v>5</v>
      </c>
      <c r="H18" s="4" t="s">
        <v>11</v>
      </c>
      <c r="I18" s="4" t="s">
        <v>6</v>
      </c>
      <c r="J18" s="4" t="s">
        <v>7</v>
      </c>
      <c r="K18" s="4" t="s">
        <v>10</v>
      </c>
      <c r="L18" s="4" t="s">
        <v>8</v>
      </c>
      <c r="M18" s="4" t="s">
        <v>18</v>
      </c>
      <c r="O18" s="4" t="s">
        <v>19</v>
      </c>
    </row>
    <row r="19" spans="1:15" ht="13.5" thickTop="1" thickBot="1" x14ac:dyDescent="0.3">
      <c r="A19" t="s">
        <v>13</v>
      </c>
      <c r="B19" s="34">
        <v>1.1102230246675228E-16</v>
      </c>
      <c r="C19" s="35">
        <v>1</v>
      </c>
      <c r="D19" s="35">
        <v>0</v>
      </c>
      <c r="E19" s="35">
        <v>1.9997007649770445E-28</v>
      </c>
      <c r="F19" s="35">
        <v>2.7755575615628907E-17</v>
      </c>
      <c r="G19" s="35">
        <v>0</v>
      </c>
      <c r="H19" s="35">
        <v>0.99999999999333844</v>
      </c>
      <c r="I19" s="35">
        <v>8.5512476684866112E-12</v>
      </c>
      <c r="J19" s="35">
        <v>6.6613381477509392E-12</v>
      </c>
      <c r="K19" s="35">
        <v>0.99999999999144851</v>
      </c>
      <c r="L19" s="36">
        <v>2.7755575615718295E-17</v>
      </c>
      <c r="M19" s="5">
        <f>SUM(Included?)</f>
        <v>2.9999999999999996</v>
      </c>
      <c r="N19" s="55" t="s">
        <v>28</v>
      </c>
      <c r="O19" s="24">
        <v>3</v>
      </c>
    </row>
    <row r="20" spans="1:15" ht="13" thickTop="1" x14ac:dyDescent="0.25"/>
    <row r="21" spans="1:15" ht="13" x14ac:dyDescent="0.3">
      <c r="A21" s="42" t="s">
        <v>14</v>
      </c>
      <c r="B21" s="43"/>
      <c r="C21" s="43"/>
      <c r="D21" s="43"/>
      <c r="E21" s="43"/>
      <c r="F21" s="43"/>
    </row>
    <row r="22" spans="1:15" ht="13" thickBot="1" x14ac:dyDescent="0.3">
      <c r="B22" s="4" t="s">
        <v>1</v>
      </c>
      <c r="C22" s="4" t="s">
        <v>2</v>
      </c>
      <c r="D22" s="4" t="s">
        <v>3</v>
      </c>
      <c r="E22" s="4" t="s">
        <v>4</v>
      </c>
      <c r="F22" s="4" t="s">
        <v>9</v>
      </c>
      <c r="G22" s="4" t="s">
        <v>5</v>
      </c>
      <c r="H22" s="4" t="s">
        <v>11</v>
      </c>
      <c r="I22" s="4" t="s">
        <v>6</v>
      </c>
      <c r="J22" s="4" t="s">
        <v>7</v>
      </c>
      <c r="K22" s="4" t="s">
        <v>10</v>
      </c>
      <c r="L22" s="4" t="s">
        <v>8</v>
      </c>
      <c r="M22" s="4" t="s">
        <v>20</v>
      </c>
      <c r="O22" s="4" t="s">
        <v>16</v>
      </c>
    </row>
    <row r="23" spans="1:15" ht="13" thickTop="1" x14ac:dyDescent="0.25">
      <c r="A23" s="2" t="s">
        <v>1</v>
      </c>
      <c r="B23" s="45">
        <v>1.1102230246675228E-16</v>
      </c>
      <c r="C23" s="46">
        <v>0</v>
      </c>
      <c r="D23" s="46">
        <v>0</v>
      </c>
      <c r="E23" s="46">
        <v>0</v>
      </c>
      <c r="F23" s="46">
        <v>0</v>
      </c>
      <c r="G23" s="46">
        <v>0</v>
      </c>
      <c r="H23" s="46">
        <v>0.99999999999333844</v>
      </c>
      <c r="I23" s="46">
        <v>0</v>
      </c>
      <c r="J23" s="46">
        <v>0</v>
      </c>
      <c r="K23" s="46">
        <v>0</v>
      </c>
      <c r="L23" s="47">
        <v>0</v>
      </c>
      <c r="M23" s="37">
        <f t="shared" ref="M23:M33" si="0">SUM(B23:L23)</f>
        <v>0.99999999999333855</v>
      </c>
      <c r="N23" s="38" t="s">
        <v>24</v>
      </c>
      <c r="O23" s="5">
        <v>1</v>
      </c>
    </row>
    <row r="24" spans="1:15" x14ac:dyDescent="0.25">
      <c r="A24" s="2" t="s">
        <v>2</v>
      </c>
      <c r="B24" s="48">
        <v>1.4339934470031028E-16</v>
      </c>
      <c r="C24" s="49">
        <v>3.234329711406149E-29</v>
      </c>
      <c r="D24" s="49">
        <v>0</v>
      </c>
      <c r="E24" s="49">
        <v>0</v>
      </c>
      <c r="F24" s="49">
        <v>0</v>
      </c>
      <c r="G24" s="49">
        <v>1</v>
      </c>
      <c r="H24" s="49">
        <v>0</v>
      </c>
      <c r="I24" s="49">
        <v>0</v>
      </c>
      <c r="J24" s="49">
        <v>6.6613381477509392E-12</v>
      </c>
      <c r="K24" s="49">
        <v>0</v>
      </c>
      <c r="L24" s="50">
        <v>0</v>
      </c>
      <c r="M24" s="37">
        <f t="shared" si="0"/>
        <v>1.0000000000066616</v>
      </c>
      <c r="N24" s="38" t="s">
        <v>24</v>
      </c>
      <c r="O24" s="5">
        <v>1</v>
      </c>
    </row>
    <row r="25" spans="1:15" x14ac:dyDescent="0.25">
      <c r="A25" t="s">
        <v>3</v>
      </c>
      <c r="B25" s="48">
        <v>0</v>
      </c>
      <c r="C25" s="49">
        <v>1</v>
      </c>
      <c r="D25" s="49">
        <v>0</v>
      </c>
      <c r="E25" s="49">
        <v>1.999700764977045E-28</v>
      </c>
      <c r="F25" s="49">
        <v>0</v>
      </c>
      <c r="G25" s="49">
        <v>0</v>
      </c>
      <c r="H25" s="49">
        <v>0</v>
      </c>
      <c r="I25" s="49">
        <v>8.5512476684866112E-12</v>
      </c>
      <c r="J25" s="49">
        <v>4.5511835130386392E-12</v>
      </c>
      <c r="K25" s="49">
        <v>0</v>
      </c>
      <c r="L25" s="50">
        <v>0</v>
      </c>
      <c r="M25" s="37">
        <f t="shared" si="0"/>
        <v>1.0000000000131024</v>
      </c>
      <c r="N25" s="38" t="s">
        <v>24</v>
      </c>
      <c r="O25" s="5">
        <v>1</v>
      </c>
    </row>
    <row r="26" spans="1:15" x14ac:dyDescent="0.25">
      <c r="A26" t="s">
        <v>4</v>
      </c>
      <c r="B26" s="48">
        <v>0</v>
      </c>
      <c r="C26" s="49">
        <v>3.234329711406149E-29</v>
      </c>
      <c r="D26" s="49">
        <v>0.99999999999144873</v>
      </c>
      <c r="E26" s="49">
        <v>1.9997007649770445E-28</v>
      </c>
      <c r="F26" s="49">
        <v>2.7755575615628907E-17</v>
      </c>
      <c r="G26" s="49">
        <v>0</v>
      </c>
      <c r="H26" s="49">
        <v>0</v>
      </c>
      <c r="I26" s="49">
        <v>8.5512476684866112E-12</v>
      </c>
      <c r="J26" s="49">
        <v>0</v>
      </c>
      <c r="K26" s="49">
        <v>0</v>
      </c>
      <c r="L26" s="50">
        <v>0</v>
      </c>
      <c r="M26" s="37">
        <f t="shared" si="0"/>
        <v>1</v>
      </c>
      <c r="N26" s="38" t="s">
        <v>24</v>
      </c>
      <c r="O26" s="5">
        <v>1</v>
      </c>
    </row>
    <row r="27" spans="1:15" x14ac:dyDescent="0.25">
      <c r="A27" t="s">
        <v>9</v>
      </c>
      <c r="B27" s="48">
        <v>0</v>
      </c>
      <c r="C27" s="49">
        <v>0</v>
      </c>
      <c r="D27" s="49">
        <v>0</v>
      </c>
      <c r="E27" s="49">
        <v>0</v>
      </c>
      <c r="F27" s="49">
        <v>2.7755575615628907E-17</v>
      </c>
      <c r="G27" s="49">
        <v>0</v>
      </c>
      <c r="H27" s="49">
        <v>0</v>
      </c>
      <c r="I27" s="49">
        <v>8.5512476684866112E-12</v>
      </c>
      <c r="J27" s="49">
        <v>0</v>
      </c>
      <c r="K27" s="49">
        <v>0.99999999999144851</v>
      </c>
      <c r="L27" s="50">
        <v>0</v>
      </c>
      <c r="M27" s="37">
        <f t="shared" si="0"/>
        <v>0.99999999999999978</v>
      </c>
      <c r="N27" s="38" t="s">
        <v>24</v>
      </c>
      <c r="O27" s="5">
        <v>1</v>
      </c>
    </row>
    <row r="28" spans="1:15" x14ac:dyDescent="0.25">
      <c r="A28" t="s">
        <v>5</v>
      </c>
      <c r="B28" s="48">
        <v>0</v>
      </c>
      <c r="C28" s="49">
        <v>0</v>
      </c>
      <c r="D28" s="49">
        <v>1.4339934469824623E-16</v>
      </c>
      <c r="E28" s="49">
        <v>0</v>
      </c>
      <c r="F28" s="49">
        <v>0</v>
      </c>
      <c r="G28" s="49">
        <v>0</v>
      </c>
      <c r="H28" s="49">
        <v>0.99999999999333844</v>
      </c>
      <c r="I28" s="49">
        <v>0</v>
      </c>
      <c r="J28" s="49">
        <v>6.6613381477509392E-12</v>
      </c>
      <c r="K28" s="49">
        <v>0</v>
      </c>
      <c r="L28" s="50">
        <v>0</v>
      </c>
      <c r="M28" s="37">
        <f t="shared" si="0"/>
        <v>0.99999999999999989</v>
      </c>
      <c r="N28" s="38" t="s">
        <v>24</v>
      </c>
      <c r="O28" s="5">
        <v>1</v>
      </c>
    </row>
    <row r="29" spans="1:15" x14ac:dyDescent="0.25">
      <c r="A29" t="s">
        <v>11</v>
      </c>
      <c r="B29" s="48">
        <v>1.1102230246675228E-16</v>
      </c>
      <c r="C29" s="49">
        <v>0</v>
      </c>
      <c r="D29" s="49">
        <v>0</v>
      </c>
      <c r="E29" s="49">
        <v>1</v>
      </c>
      <c r="F29" s="49">
        <v>0</v>
      </c>
      <c r="G29" s="49">
        <v>0</v>
      </c>
      <c r="H29" s="49">
        <v>0.99999999999333844</v>
      </c>
      <c r="I29" s="49">
        <v>0</v>
      </c>
      <c r="J29" s="49">
        <v>6.6613381477509392E-12</v>
      </c>
      <c r="K29" s="49">
        <v>0</v>
      </c>
      <c r="L29" s="50">
        <v>0</v>
      </c>
      <c r="M29" s="37">
        <f t="shared" si="0"/>
        <v>1.9999999999999998</v>
      </c>
      <c r="N29" s="38" t="s">
        <v>24</v>
      </c>
      <c r="O29" s="5">
        <v>1</v>
      </c>
    </row>
    <row r="30" spans="1:15" x14ac:dyDescent="0.25">
      <c r="A30" t="s">
        <v>6</v>
      </c>
      <c r="B30" s="48">
        <v>0</v>
      </c>
      <c r="C30" s="49">
        <v>0</v>
      </c>
      <c r="D30" s="49">
        <v>0</v>
      </c>
      <c r="E30" s="49">
        <v>0</v>
      </c>
      <c r="F30" s="49">
        <v>2.7755575615628907E-17</v>
      </c>
      <c r="G30" s="49">
        <v>0</v>
      </c>
      <c r="H30" s="49">
        <v>0</v>
      </c>
      <c r="I30" s="49">
        <v>8.5512476684866112E-12</v>
      </c>
      <c r="J30" s="49">
        <v>1</v>
      </c>
      <c r="K30" s="49">
        <v>0</v>
      </c>
      <c r="L30" s="50">
        <v>0</v>
      </c>
      <c r="M30" s="37">
        <f t="shared" si="0"/>
        <v>1.0000000000085514</v>
      </c>
      <c r="N30" s="38" t="s">
        <v>24</v>
      </c>
      <c r="O30" s="5">
        <v>1</v>
      </c>
    </row>
    <row r="31" spans="1:15" x14ac:dyDescent="0.25">
      <c r="A31" t="s">
        <v>7</v>
      </c>
      <c r="B31" s="48">
        <v>1.1102230246671996E-16</v>
      </c>
      <c r="C31" s="49">
        <v>0</v>
      </c>
      <c r="D31" s="49">
        <v>0</v>
      </c>
      <c r="E31" s="49">
        <v>0</v>
      </c>
      <c r="F31" s="49">
        <v>0</v>
      </c>
      <c r="G31" s="49">
        <v>0</v>
      </c>
      <c r="H31" s="49">
        <v>0.99999999999333855</v>
      </c>
      <c r="I31" s="49">
        <v>0</v>
      </c>
      <c r="J31" s="49">
        <v>6.6613381477509392E-12</v>
      </c>
      <c r="K31" s="49">
        <v>0</v>
      </c>
      <c r="L31" s="50">
        <v>0</v>
      </c>
      <c r="M31" s="37">
        <f t="shared" si="0"/>
        <v>1</v>
      </c>
      <c r="N31" s="38" t="s">
        <v>24</v>
      </c>
      <c r="O31" s="5">
        <v>1</v>
      </c>
    </row>
    <row r="32" spans="1:15" x14ac:dyDescent="0.25">
      <c r="A32" s="3" t="s">
        <v>10</v>
      </c>
      <c r="B32" s="48">
        <v>0</v>
      </c>
      <c r="C32" s="49">
        <v>0</v>
      </c>
      <c r="D32" s="49">
        <v>0</v>
      </c>
      <c r="E32" s="49">
        <v>0</v>
      </c>
      <c r="F32" s="49">
        <v>2.7755575615628907E-17</v>
      </c>
      <c r="G32" s="49">
        <v>0</v>
      </c>
      <c r="H32" s="49">
        <v>0</v>
      </c>
      <c r="I32" s="49">
        <v>8.5512476684866112E-12</v>
      </c>
      <c r="J32" s="49">
        <v>0</v>
      </c>
      <c r="K32" s="49">
        <v>0.99999999999144851</v>
      </c>
      <c r="L32" s="50">
        <v>0</v>
      </c>
      <c r="M32" s="37">
        <f t="shared" si="0"/>
        <v>0.99999999999999978</v>
      </c>
      <c r="N32" s="38" t="s">
        <v>24</v>
      </c>
      <c r="O32" s="5">
        <v>1</v>
      </c>
    </row>
    <row r="33" spans="1:15" ht="13" thickBot="1" x14ac:dyDescent="0.3">
      <c r="A33" s="2" t="s">
        <v>8</v>
      </c>
      <c r="B33" s="51">
        <v>0</v>
      </c>
      <c r="C33" s="52">
        <v>0</v>
      </c>
      <c r="D33" s="52">
        <v>0</v>
      </c>
      <c r="E33" s="52">
        <v>1.9997007649770445E-28</v>
      </c>
      <c r="F33" s="52">
        <v>0</v>
      </c>
      <c r="G33" s="52">
        <v>0</v>
      </c>
      <c r="H33" s="52">
        <v>0</v>
      </c>
      <c r="I33" s="52">
        <v>8.5512476684866112E-12</v>
      </c>
      <c r="J33" s="52">
        <v>0</v>
      </c>
      <c r="K33" s="52">
        <v>0</v>
      </c>
      <c r="L33" s="53">
        <v>1</v>
      </c>
      <c r="M33" s="37">
        <f t="shared" si="0"/>
        <v>1.0000000000085512</v>
      </c>
      <c r="N33" s="38" t="s">
        <v>24</v>
      </c>
      <c r="O33" s="5">
        <v>1</v>
      </c>
    </row>
    <row r="34" spans="1:15" ht="13" thickTop="1" x14ac:dyDescent="0.25">
      <c r="A34" s="2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15"/>
      <c r="N34" s="38"/>
      <c r="O34" s="5"/>
    </row>
    <row r="35" spans="1:15" x14ac:dyDescent="0.25">
      <c r="A35" s="43" t="s">
        <v>15</v>
      </c>
      <c r="B35" s="4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5" x14ac:dyDescent="0.25">
      <c r="A36" s="2" t="s">
        <v>1</v>
      </c>
      <c r="B36" s="26">
        <f t="shared" ref="B36:L46" si="1" xml:space="preserve"> Included?</f>
        <v>1.1102230246675228E-16</v>
      </c>
      <c r="C36" s="27">
        <f t="shared" si="1"/>
        <v>1</v>
      </c>
      <c r="D36" s="27">
        <f t="shared" si="1"/>
        <v>0</v>
      </c>
      <c r="E36" s="27">
        <f t="shared" si="1"/>
        <v>1.9997007649770445E-28</v>
      </c>
      <c r="F36" s="27">
        <f t="shared" si="1"/>
        <v>2.7755575615628907E-17</v>
      </c>
      <c r="G36" s="27">
        <f t="shared" si="1"/>
        <v>0</v>
      </c>
      <c r="H36" s="27">
        <f t="shared" si="1"/>
        <v>0.99999999999333844</v>
      </c>
      <c r="I36" s="27">
        <f t="shared" si="1"/>
        <v>8.5512476684866112E-12</v>
      </c>
      <c r="J36" s="27">
        <f t="shared" si="1"/>
        <v>6.6613381477509392E-12</v>
      </c>
      <c r="K36" s="27">
        <f t="shared" si="1"/>
        <v>0.99999999999144851</v>
      </c>
      <c r="L36" s="28">
        <f t="shared" si="1"/>
        <v>2.7755575615718295E-17</v>
      </c>
    </row>
    <row r="37" spans="1:15" x14ac:dyDescent="0.25">
      <c r="A37" s="2" t="s">
        <v>2</v>
      </c>
      <c r="B37" s="29">
        <f t="shared" si="1"/>
        <v>1.1102230246675228E-16</v>
      </c>
      <c r="C37" s="25">
        <f t="shared" si="1"/>
        <v>1</v>
      </c>
      <c r="D37" s="25">
        <f t="shared" si="1"/>
        <v>0</v>
      </c>
      <c r="E37" s="25">
        <f t="shared" si="1"/>
        <v>1.9997007649770445E-28</v>
      </c>
      <c r="F37" s="25">
        <f t="shared" si="1"/>
        <v>2.7755575615628907E-17</v>
      </c>
      <c r="G37" s="25">
        <f t="shared" si="1"/>
        <v>0</v>
      </c>
      <c r="H37" s="25">
        <f t="shared" si="1"/>
        <v>0.99999999999333844</v>
      </c>
      <c r="I37" s="25">
        <f t="shared" si="1"/>
        <v>8.5512476684866112E-12</v>
      </c>
      <c r="J37" s="25">
        <f t="shared" si="1"/>
        <v>6.6613381477509392E-12</v>
      </c>
      <c r="K37" s="25">
        <f t="shared" si="1"/>
        <v>0.99999999999144851</v>
      </c>
      <c r="L37" s="30">
        <f t="shared" si="1"/>
        <v>2.7755575615718295E-17</v>
      </c>
    </row>
    <row r="38" spans="1:15" x14ac:dyDescent="0.25">
      <c r="A38" t="s">
        <v>3</v>
      </c>
      <c r="B38" s="29">
        <f t="shared" si="1"/>
        <v>1.1102230246675228E-16</v>
      </c>
      <c r="C38" s="25">
        <f t="shared" si="1"/>
        <v>1</v>
      </c>
      <c r="D38" s="25">
        <f t="shared" si="1"/>
        <v>0</v>
      </c>
      <c r="E38" s="25">
        <f t="shared" si="1"/>
        <v>1.9997007649770445E-28</v>
      </c>
      <c r="F38" s="25">
        <f t="shared" si="1"/>
        <v>2.7755575615628907E-17</v>
      </c>
      <c r="G38" s="25">
        <f t="shared" si="1"/>
        <v>0</v>
      </c>
      <c r="H38" s="25">
        <f t="shared" si="1"/>
        <v>0.99999999999333844</v>
      </c>
      <c r="I38" s="25">
        <f t="shared" si="1"/>
        <v>8.5512476684866112E-12</v>
      </c>
      <c r="J38" s="25">
        <f t="shared" si="1"/>
        <v>6.6613381477509392E-12</v>
      </c>
      <c r="K38" s="25">
        <f t="shared" si="1"/>
        <v>0.99999999999144851</v>
      </c>
      <c r="L38" s="30">
        <f t="shared" si="1"/>
        <v>2.7755575615718295E-17</v>
      </c>
    </row>
    <row r="39" spans="1:15" x14ac:dyDescent="0.25">
      <c r="A39" t="s">
        <v>4</v>
      </c>
      <c r="B39" s="29">
        <f t="shared" si="1"/>
        <v>1.1102230246675228E-16</v>
      </c>
      <c r="C39" s="25">
        <f t="shared" si="1"/>
        <v>1</v>
      </c>
      <c r="D39" s="25">
        <f t="shared" si="1"/>
        <v>0</v>
      </c>
      <c r="E39" s="25">
        <f t="shared" si="1"/>
        <v>1.9997007649770445E-28</v>
      </c>
      <c r="F39" s="25">
        <f t="shared" si="1"/>
        <v>2.7755575615628907E-17</v>
      </c>
      <c r="G39" s="25">
        <f t="shared" si="1"/>
        <v>0</v>
      </c>
      <c r="H39" s="25">
        <f t="shared" si="1"/>
        <v>0.99999999999333844</v>
      </c>
      <c r="I39" s="25">
        <f t="shared" si="1"/>
        <v>8.5512476684866112E-12</v>
      </c>
      <c r="J39" s="25">
        <f t="shared" si="1"/>
        <v>6.6613381477509392E-12</v>
      </c>
      <c r="K39" s="25">
        <f t="shared" si="1"/>
        <v>0.99999999999144851</v>
      </c>
      <c r="L39" s="30">
        <f t="shared" si="1"/>
        <v>2.7755575615718295E-17</v>
      </c>
    </row>
    <row r="40" spans="1:15" x14ac:dyDescent="0.25">
      <c r="A40" t="s">
        <v>9</v>
      </c>
      <c r="B40" s="29">
        <f t="shared" si="1"/>
        <v>1.1102230246675228E-16</v>
      </c>
      <c r="C40" s="25">
        <f t="shared" si="1"/>
        <v>1</v>
      </c>
      <c r="D40" s="25">
        <f t="shared" si="1"/>
        <v>0</v>
      </c>
      <c r="E40" s="25">
        <f t="shared" si="1"/>
        <v>1.9997007649770445E-28</v>
      </c>
      <c r="F40" s="25">
        <f t="shared" si="1"/>
        <v>2.7755575615628907E-17</v>
      </c>
      <c r="G40" s="25">
        <f t="shared" si="1"/>
        <v>0</v>
      </c>
      <c r="H40" s="25">
        <f t="shared" si="1"/>
        <v>0.99999999999333844</v>
      </c>
      <c r="I40" s="25">
        <f t="shared" si="1"/>
        <v>8.5512476684866112E-12</v>
      </c>
      <c r="J40" s="25">
        <f t="shared" si="1"/>
        <v>6.6613381477509392E-12</v>
      </c>
      <c r="K40" s="25">
        <f t="shared" si="1"/>
        <v>0.99999999999144851</v>
      </c>
      <c r="L40" s="30">
        <f t="shared" si="1"/>
        <v>2.7755575615718295E-17</v>
      </c>
    </row>
    <row r="41" spans="1:15" x14ac:dyDescent="0.25">
      <c r="A41" t="s">
        <v>5</v>
      </c>
      <c r="B41" s="29">
        <f t="shared" si="1"/>
        <v>1.1102230246675228E-16</v>
      </c>
      <c r="C41" s="25">
        <f t="shared" si="1"/>
        <v>1</v>
      </c>
      <c r="D41" s="25">
        <f t="shared" si="1"/>
        <v>0</v>
      </c>
      <c r="E41" s="25">
        <f t="shared" si="1"/>
        <v>1.9997007649770445E-28</v>
      </c>
      <c r="F41" s="25">
        <f t="shared" si="1"/>
        <v>2.7755575615628907E-17</v>
      </c>
      <c r="G41" s="25">
        <f t="shared" si="1"/>
        <v>0</v>
      </c>
      <c r="H41" s="25">
        <f t="shared" si="1"/>
        <v>0.99999999999333844</v>
      </c>
      <c r="I41" s="25">
        <f t="shared" si="1"/>
        <v>8.5512476684866112E-12</v>
      </c>
      <c r="J41" s="25">
        <f t="shared" si="1"/>
        <v>6.6613381477509392E-12</v>
      </c>
      <c r="K41" s="25">
        <f t="shared" si="1"/>
        <v>0.99999999999144851</v>
      </c>
      <c r="L41" s="30">
        <f t="shared" si="1"/>
        <v>2.7755575615718295E-17</v>
      </c>
    </row>
    <row r="42" spans="1:15" x14ac:dyDescent="0.25">
      <c r="A42" t="s">
        <v>11</v>
      </c>
      <c r="B42" s="29">
        <f t="shared" si="1"/>
        <v>1.1102230246675228E-16</v>
      </c>
      <c r="C42" s="25">
        <f t="shared" si="1"/>
        <v>1</v>
      </c>
      <c r="D42" s="25">
        <f t="shared" si="1"/>
        <v>0</v>
      </c>
      <c r="E42" s="25">
        <f t="shared" si="1"/>
        <v>1.9997007649770445E-28</v>
      </c>
      <c r="F42" s="25">
        <f t="shared" si="1"/>
        <v>2.7755575615628907E-17</v>
      </c>
      <c r="G42" s="25">
        <f t="shared" si="1"/>
        <v>0</v>
      </c>
      <c r="H42" s="25">
        <f t="shared" si="1"/>
        <v>0.99999999999333844</v>
      </c>
      <c r="I42" s="25">
        <f t="shared" si="1"/>
        <v>8.5512476684866112E-12</v>
      </c>
      <c r="J42" s="25">
        <f t="shared" si="1"/>
        <v>6.6613381477509392E-12</v>
      </c>
      <c r="K42" s="25">
        <f t="shared" si="1"/>
        <v>0.99999999999144851</v>
      </c>
      <c r="L42" s="30">
        <f t="shared" si="1"/>
        <v>2.7755575615718295E-17</v>
      </c>
    </row>
    <row r="43" spans="1:15" x14ac:dyDescent="0.25">
      <c r="A43" t="s">
        <v>6</v>
      </c>
      <c r="B43" s="29">
        <f t="shared" si="1"/>
        <v>1.1102230246675228E-16</v>
      </c>
      <c r="C43" s="25">
        <f t="shared" si="1"/>
        <v>1</v>
      </c>
      <c r="D43" s="25">
        <f t="shared" si="1"/>
        <v>0</v>
      </c>
      <c r="E43" s="25">
        <f t="shared" si="1"/>
        <v>1.9997007649770445E-28</v>
      </c>
      <c r="F43" s="25">
        <f t="shared" si="1"/>
        <v>2.7755575615628907E-17</v>
      </c>
      <c r="G43" s="25">
        <f t="shared" si="1"/>
        <v>0</v>
      </c>
      <c r="H43" s="25">
        <f t="shared" si="1"/>
        <v>0.99999999999333844</v>
      </c>
      <c r="I43" s="25">
        <f t="shared" si="1"/>
        <v>8.5512476684866112E-12</v>
      </c>
      <c r="J43" s="25">
        <f t="shared" si="1"/>
        <v>6.6613381477509392E-12</v>
      </c>
      <c r="K43" s="25">
        <f t="shared" si="1"/>
        <v>0.99999999999144851</v>
      </c>
      <c r="L43" s="30">
        <f t="shared" si="1"/>
        <v>2.7755575615718295E-17</v>
      </c>
    </row>
    <row r="44" spans="1:15" x14ac:dyDescent="0.25">
      <c r="A44" t="s">
        <v>7</v>
      </c>
      <c r="B44" s="29">
        <f t="shared" si="1"/>
        <v>1.1102230246675228E-16</v>
      </c>
      <c r="C44" s="25">
        <f t="shared" si="1"/>
        <v>1</v>
      </c>
      <c r="D44" s="25">
        <f t="shared" si="1"/>
        <v>0</v>
      </c>
      <c r="E44" s="25">
        <f t="shared" si="1"/>
        <v>1.9997007649770445E-28</v>
      </c>
      <c r="F44" s="25">
        <f t="shared" si="1"/>
        <v>2.7755575615628907E-17</v>
      </c>
      <c r="G44" s="25">
        <f t="shared" si="1"/>
        <v>0</v>
      </c>
      <c r="H44" s="25">
        <f t="shared" si="1"/>
        <v>0.99999999999333844</v>
      </c>
      <c r="I44" s="25">
        <f t="shared" si="1"/>
        <v>8.5512476684866112E-12</v>
      </c>
      <c r="J44" s="25">
        <f t="shared" si="1"/>
        <v>6.6613381477509392E-12</v>
      </c>
      <c r="K44" s="25">
        <f t="shared" si="1"/>
        <v>0.99999999999144851</v>
      </c>
      <c r="L44" s="30">
        <f t="shared" si="1"/>
        <v>2.7755575615718295E-17</v>
      </c>
    </row>
    <row r="45" spans="1:15" x14ac:dyDescent="0.25">
      <c r="A45" s="3" t="s">
        <v>10</v>
      </c>
      <c r="B45" s="29">
        <f t="shared" si="1"/>
        <v>1.1102230246675228E-16</v>
      </c>
      <c r="C45" s="25">
        <f t="shared" si="1"/>
        <v>1</v>
      </c>
      <c r="D45" s="25">
        <f t="shared" si="1"/>
        <v>0</v>
      </c>
      <c r="E45" s="25">
        <f t="shared" si="1"/>
        <v>1.9997007649770445E-28</v>
      </c>
      <c r="F45" s="25">
        <f t="shared" si="1"/>
        <v>2.7755575615628907E-17</v>
      </c>
      <c r="G45" s="25">
        <f t="shared" si="1"/>
        <v>0</v>
      </c>
      <c r="H45" s="25">
        <f t="shared" si="1"/>
        <v>0.99999999999333844</v>
      </c>
      <c r="I45" s="25">
        <f t="shared" si="1"/>
        <v>8.5512476684866112E-12</v>
      </c>
      <c r="J45" s="25">
        <f t="shared" si="1"/>
        <v>6.6613381477509392E-12</v>
      </c>
      <c r="K45" s="25">
        <f t="shared" si="1"/>
        <v>0.99999999999144851</v>
      </c>
      <c r="L45" s="30">
        <f t="shared" si="1"/>
        <v>2.7755575615718295E-17</v>
      </c>
    </row>
    <row r="46" spans="1:15" x14ac:dyDescent="0.25">
      <c r="A46" s="2" t="s">
        <v>8</v>
      </c>
      <c r="B46" s="31">
        <f t="shared" si="1"/>
        <v>1.1102230246675228E-16</v>
      </c>
      <c r="C46" s="32">
        <f t="shared" si="1"/>
        <v>1</v>
      </c>
      <c r="D46" s="32">
        <f t="shared" si="1"/>
        <v>0</v>
      </c>
      <c r="E46" s="32">
        <f t="shared" si="1"/>
        <v>1.9997007649770445E-28</v>
      </c>
      <c r="F46" s="32">
        <f t="shared" si="1"/>
        <v>2.7755575615628907E-17</v>
      </c>
      <c r="G46" s="32">
        <f t="shared" si="1"/>
        <v>0</v>
      </c>
      <c r="H46" s="32">
        <f t="shared" si="1"/>
        <v>0.99999999999333844</v>
      </c>
      <c r="I46" s="32">
        <f t="shared" si="1"/>
        <v>8.5512476684866112E-12</v>
      </c>
      <c r="J46" s="32">
        <f t="shared" si="1"/>
        <v>6.6613381477509392E-12</v>
      </c>
      <c r="K46" s="32">
        <f t="shared" si="1"/>
        <v>0.99999999999144851</v>
      </c>
      <c r="L46" s="33">
        <f t="shared" si="1"/>
        <v>2.7755575615718295E-17</v>
      </c>
    </row>
    <row r="48" spans="1:15" ht="13" x14ac:dyDescent="0.3">
      <c r="A48" s="42" t="s">
        <v>22</v>
      </c>
      <c r="B48" s="43"/>
      <c r="C48" s="43"/>
      <c r="D48" s="43"/>
      <c r="E48" s="43"/>
      <c r="F48" s="43"/>
      <c r="G48" s="43"/>
    </row>
    <row r="49" spans="1:3" ht="13.5" thickBot="1" x14ac:dyDescent="0.35">
      <c r="A49" s="1"/>
      <c r="B49" s="4" t="s">
        <v>21</v>
      </c>
      <c r="C49" s="40" t="s">
        <v>25</v>
      </c>
    </row>
    <row r="50" spans="1:3" x14ac:dyDescent="0.25">
      <c r="A50" s="2" t="s">
        <v>1</v>
      </c>
      <c r="B50" s="18">
        <v>885</v>
      </c>
      <c r="C50" s="15">
        <f t="shared" ref="C50:C60" si="2" xml:space="preserve"> Annual_trips * SUMPRODUCT(B5:L5, B23:L23) / 1000</f>
        <v>188.50499999874427</v>
      </c>
    </row>
    <row r="51" spans="1:3" x14ac:dyDescent="0.25">
      <c r="A51" s="2" t="s">
        <v>2</v>
      </c>
      <c r="B51" s="19">
        <v>760</v>
      </c>
      <c r="C51" s="15">
        <f t="shared" si="2"/>
        <v>1056.4000000023138</v>
      </c>
    </row>
    <row r="52" spans="1:3" x14ac:dyDescent="0.25">
      <c r="A52" t="s">
        <v>3</v>
      </c>
      <c r="B52" s="19">
        <v>1124</v>
      </c>
      <c r="C52" s="15">
        <f t="shared" si="2"/>
        <v>1354.4200000161989</v>
      </c>
    </row>
    <row r="53" spans="1:3" x14ac:dyDescent="0.25">
      <c r="A53" t="s">
        <v>4</v>
      </c>
      <c r="B53" s="19">
        <v>708</v>
      </c>
      <c r="C53" s="15">
        <f t="shared" si="2"/>
        <v>567.10800000021186</v>
      </c>
    </row>
    <row r="54" spans="1:3" x14ac:dyDescent="0.25">
      <c r="A54" t="s">
        <v>9</v>
      </c>
      <c r="B54" s="19">
        <v>1224</v>
      </c>
      <c r="C54" s="15">
        <f t="shared" si="2"/>
        <v>493.27199999994758</v>
      </c>
    </row>
    <row r="55" spans="1:3" x14ac:dyDescent="0.25">
      <c r="A55" t="s">
        <v>5</v>
      </c>
      <c r="B55" s="19">
        <v>1152</v>
      </c>
      <c r="C55" s="15">
        <f t="shared" si="2"/>
        <v>1449.2159999999385</v>
      </c>
    </row>
    <row r="56" spans="1:3" x14ac:dyDescent="0.25">
      <c r="A56" t="s">
        <v>11</v>
      </c>
      <c r="B56" s="19">
        <v>1560</v>
      </c>
      <c r="C56" s="15">
        <f t="shared" si="2"/>
        <v>2776.8000000040111</v>
      </c>
    </row>
    <row r="57" spans="1:3" x14ac:dyDescent="0.25">
      <c r="A57" t="s">
        <v>6</v>
      </c>
      <c r="B57" s="19">
        <v>1222</v>
      </c>
      <c r="C57" s="15">
        <f t="shared" si="2"/>
        <v>2533.2060000000001</v>
      </c>
    </row>
    <row r="58" spans="1:3" x14ac:dyDescent="0.25">
      <c r="A58" t="s">
        <v>7</v>
      </c>
      <c r="B58" s="19">
        <v>856</v>
      </c>
      <c r="C58" s="15">
        <f t="shared" si="2"/>
        <v>330.41599999779908</v>
      </c>
    </row>
    <row r="59" spans="1:3" x14ac:dyDescent="0.25">
      <c r="A59" s="3" t="s">
        <v>10</v>
      </c>
      <c r="B59" s="19">
        <v>1443</v>
      </c>
      <c r="C59" s="15">
        <f t="shared" si="2"/>
        <v>9.8715764491730763E-9</v>
      </c>
    </row>
    <row r="60" spans="1:3" ht="13" thickBot="1" x14ac:dyDescent="0.3">
      <c r="A60" s="2" t="s">
        <v>8</v>
      </c>
      <c r="B60" s="20">
        <v>612</v>
      </c>
      <c r="C60" s="15">
        <f t="shared" si="2"/>
        <v>7.7558448153546595E-9</v>
      </c>
    </row>
    <row r="61" spans="1:3" x14ac:dyDescent="0.25">
      <c r="A61" s="2"/>
    </row>
    <row r="62" spans="1:3" ht="13.5" thickBot="1" x14ac:dyDescent="0.35">
      <c r="A62" s="42" t="s">
        <v>23</v>
      </c>
      <c r="B62" s="43"/>
    </row>
    <row r="63" spans="1:3" ht="13.5" thickTop="1" thickBot="1" x14ac:dyDescent="0.3">
      <c r="A63" t="s">
        <v>17</v>
      </c>
      <c r="B63" s="41">
        <f xml:space="preserve"> SUM(Total_annual_distance)</f>
        <v>10749.343000036792</v>
      </c>
    </row>
    <row r="64" spans="1:3" ht="13" thickTop="1" x14ac:dyDescent="0.25"/>
    <row r="65" spans="1:1" ht="13" x14ac:dyDescent="0.3">
      <c r="A65" s="1"/>
    </row>
  </sheetData>
  <mergeCells count="1">
    <mergeCell ref="A1:B1"/>
  </mergeCells>
  <phoneticPr fontId="5" type="noConversion"/>
  <conditionalFormatting sqref="B19:L19">
    <cfRule type="cellIs" dxfId="7" priority="1" stopIfTrue="1" operator="greaterThan">
      <formula>0.5</formula>
    </cfRule>
  </conditionalFormatting>
  <conditionalFormatting sqref="B23:L33">
    <cfRule type="cellIs" dxfId="6" priority="2" operator="greaterThan">
      <formula>0.5</formula>
    </cfRule>
  </conditionalFormatting>
  <printOptions headings="1" gridLines="1"/>
  <pageMargins left="0.75" right="0.75" top="1" bottom="1" header="0.5" footer="0.5"/>
  <pageSetup scale="5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65"/>
  <sheetViews>
    <sheetView topLeftCell="A10" zoomScale="75" workbookViewId="0">
      <selection activeCell="C50" sqref="C50"/>
    </sheetView>
  </sheetViews>
  <sheetFormatPr defaultRowHeight="12.5" x14ac:dyDescent="0.25"/>
  <cols>
    <col min="1" max="1" width="23.08984375" customWidth="1"/>
    <col min="2" max="12" width="13.08984375" customWidth="1"/>
    <col min="13" max="13" width="19.453125" bestFit="1" customWidth="1"/>
    <col min="14" max="14" width="20.6328125" bestFit="1" customWidth="1"/>
  </cols>
  <sheetData>
    <row r="1" spans="1:15" ht="13" x14ac:dyDescent="0.3">
      <c r="A1" s="58" t="s">
        <v>26</v>
      </c>
      <c r="B1" s="58"/>
      <c r="C1" s="43"/>
      <c r="D1" s="43"/>
      <c r="E1" s="43"/>
    </row>
    <row r="3" spans="1:15" ht="13" x14ac:dyDescent="0.3">
      <c r="A3" s="42" t="s">
        <v>0</v>
      </c>
      <c r="B3" s="43"/>
      <c r="N3" s="1"/>
    </row>
    <row r="4" spans="1:15" ht="13" thickBot="1" x14ac:dyDescent="0.3">
      <c r="A4" s="2"/>
      <c r="B4" s="4" t="s">
        <v>1</v>
      </c>
      <c r="C4" s="4" t="s">
        <v>2</v>
      </c>
      <c r="D4" s="4" t="s">
        <v>3</v>
      </c>
      <c r="E4" s="4" t="s">
        <v>4</v>
      </c>
      <c r="F4" s="4" t="s">
        <v>9</v>
      </c>
      <c r="G4" s="4" t="s">
        <v>5</v>
      </c>
      <c r="H4" s="4" t="s">
        <v>11</v>
      </c>
      <c r="I4" s="4" t="s">
        <v>6</v>
      </c>
      <c r="J4" s="4" t="s">
        <v>7</v>
      </c>
      <c r="K4" s="4" t="s">
        <v>10</v>
      </c>
      <c r="L4" s="4" t="s">
        <v>8</v>
      </c>
      <c r="N4" s="17"/>
      <c r="O4" s="16"/>
    </row>
    <row r="5" spans="1:15" x14ac:dyDescent="0.25">
      <c r="A5" s="2" t="s">
        <v>1</v>
      </c>
      <c r="B5" s="6">
        <v>0</v>
      </c>
      <c r="C5" s="7">
        <v>983</v>
      </c>
      <c r="D5" s="7">
        <v>1815</v>
      </c>
      <c r="E5" s="7">
        <v>1991</v>
      </c>
      <c r="F5" s="7">
        <v>3036</v>
      </c>
      <c r="G5" s="7">
        <v>1539</v>
      </c>
      <c r="H5" s="7">
        <v>213</v>
      </c>
      <c r="I5" s="7">
        <v>2664</v>
      </c>
      <c r="J5" s="7">
        <v>792</v>
      </c>
      <c r="K5" s="7">
        <v>2385</v>
      </c>
      <c r="L5" s="8">
        <v>2612</v>
      </c>
      <c r="N5" s="16"/>
      <c r="O5" s="16"/>
    </row>
    <row r="6" spans="1:15" x14ac:dyDescent="0.25">
      <c r="A6" s="2" t="s">
        <v>2</v>
      </c>
      <c r="B6" s="9">
        <v>983</v>
      </c>
      <c r="C6" s="10">
        <v>0</v>
      </c>
      <c r="D6" s="10">
        <v>1205</v>
      </c>
      <c r="E6" s="10">
        <v>1050</v>
      </c>
      <c r="F6" s="10">
        <v>2112</v>
      </c>
      <c r="G6" s="10">
        <v>1390</v>
      </c>
      <c r="H6" s="10">
        <v>840</v>
      </c>
      <c r="I6" s="10">
        <v>1729</v>
      </c>
      <c r="J6" s="10">
        <v>457</v>
      </c>
      <c r="K6" s="10">
        <v>2212</v>
      </c>
      <c r="L6" s="11">
        <v>2052</v>
      </c>
      <c r="N6" s="16"/>
      <c r="O6" s="16"/>
    </row>
    <row r="7" spans="1:15" x14ac:dyDescent="0.25">
      <c r="A7" t="s">
        <v>3</v>
      </c>
      <c r="B7" s="9">
        <v>1815</v>
      </c>
      <c r="C7" s="10">
        <v>1205</v>
      </c>
      <c r="D7" s="10">
        <v>0</v>
      </c>
      <c r="E7" s="10">
        <v>801</v>
      </c>
      <c r="F7" s="10">
        <v>1425</v>
      </c>
      <c r="G7" s="10">
        <v>1332</v>
      </c>
      <c r="H7" s="10">
        <v>1604</v>
      </c>
      <c r="I7" s="10">
        <v>1027</v>
      </c>
      <c r="J7" s="10">
        <v>1237</v>
      </c>
      <c r="K7" s="10">
        <v>1765</v>
      </c>
      <c r="L7" s="11">
        <v>2404</v>
      </c>
      <c r="N7" s="16"/>
      <c r="O7" s="16"/>
    </row>
    <row r="8" spans="1:15" x14ac:dyDescent="0.25">
      <c r="A8" t="s">
        <v>4</v>
      </c>
      <c r="B8" s="9">
        <v>1991</v>
      </c>
      <c r="C8" s="10">
        <v>1050</v>
      </c>
      <c r="D8" s="10">
        <v>801</v>
      </c>
      <c r="E8" s="10">
        <v>0</v>
      </c>
      <c r="F8" s="10">
        <v>1174</v>
      </c>
      <c r="G8" s="10">
        <v>2041</v>
      </c>
      <c r="H8" s="10">
        <v>1780</v>
      </c>
      <c r="I8" s="10">
        <v>836</v>
      </c>
      <c r="J8" s="10">
        <v>1411</v>
      </c>
      <c r="K8" s="10">
        <v>1765</v>
      </c>
      <c r="L8" s="11">
        <v>1373</v>
      </c>
      <c r="N8" s="16"/>
      <c r="O8" s="16"/>
    </row>
    <row r="9" spans="1:15" x14ac:dyDescent="0.25">
      <c r="A9" t="s">
        <v>9</v>
      </c>
      <c r="B9" s="9">
        <v>3036</v>
      </c>
      <c r="C9" s="10">
        <v>2112</v>
      </c>
      <c r="D9" s="10">
        <v>1425</v>
      </c>
      <c r="E9" s="10">
        <v>1174</v>
      </c>
      <c r="F9" s="10">
        <v>0</v>
      </c>
      <c r="G9" s="10">
        <v>2757</v>
      </c>
      <c r="H9" s="10">
        <v>2825</v>
      </c>
      <c r="I9" s="10">
        <v>398</v>
      </c>
      <c r="J9" s="10">
        <v>2456</v>
      </c>
      <c r="K9" s="10">
        <v>403</v>
      </c>
      <c r="L9" s="11">
        <v>1909</v>
      </c>
      <c r="N9" s="16"/>
      <c r="O9" s="16"/>
    </row>
    <row r="10" spans="1:15" x14ac:dyDescent="0.25">
      <c r="A10" t="s">
        <v>5</v>
      </c>
      <c r="B10" s="9">
        <v>1539</v>
      </c>
      <c r="C10" s="10">
        <v>1390</v>
      </c>
      <c r="D10" s="10">
        <v>1332</v>
      </c>
      <c r="E10" s="10">
        <v>2041</v>
      </c>
      <c r="F10" s="10">
        <v>2757</v>
      </c>
      <c r="G10" s="10">
        <v>0</v>
      </c>
      <c r="H10" s="10">
        <v>1258</v>
      </c>
      <c r="I10" s="10">
        <v>2359</v>
      </c>
      <c r="J10" s="10">
        <v>1250</v>
      </c>
      <c r="K10" s="10">
        <v>3097</v>
      </c>
      <c r="L10" s="11">
        <v>3389</v>
      </c>
      <c r="N10" s="16"/>
      <c r="O10" s="16"/>
    </row>
    <row r="11" spans="1:15" x14ac:dyDescent="0.25">
      <c r="A11" t="s">
        <v>11</v>
      </c>
      <c r="B11" s="9">
        <v>213</v>
      </c>
      <c r="C11" s="10">
        <v>840</v>
      </c>
      <c r="D11" s="10">
        <v>1604</v>
      </c>
      <c r="E11" s="10">
        <v>1780</v>
      </c>
      <c r="F11" s="10">
        <v>2825</v>
      </c>
      <c r="G11" s="10">
        <v>1258</v>
      </c>
      <c r="H11" s="10">
        <v>0</v>
      </c>
      <c r="I11" s="10">
        <v>2442</v>
      </c>
      <c r="J11" s="10">
        <v>386</v>
      </c>
      <c r="K11" s="10">
        <v>3036</v>
      </c>
      <c r="L11" s="11">
        <v>2900</v>
      </c>
    </row>
    <row r="12" spans="1:15" x14ac:dyDescent="0.25">
      <c r="A12" t="s">
        <v>6</v>
      </c>
      <c r="B12" s="9">
        <v>2664</v>
      </c>
      <c r="C12" s="10">
        <v>1729</v>
      </c>
      <c r="D12" s="10">
        <v>1027</v>
      </c>
      <c r="E12" s="10">
        <v>836</v>
      </c>
      <c r="F12" s="10">
        <v>398</v>
      </c>
      <c r="G12" s="10">
        <v>2359</v>
      </c>
      <c r="H12" s="10">
        <v>2442</v>
      </c>
      <c r="I12" s="10">
        <v>0</v>
      </c>
      <c r="J12" s="10">
        <v>2073</v>
      </c>
      <c r="K12" s="10">
        <v>800</v>
      </c>
      <c r="L12" s="11">
        <v>1482</v>
      </c>
    </row>
    <row r="13" spans="1:15" x14ac:dyDescent="0.25">
      <c r="A13" t="s">
        <v>7</v>
      </c>
      <c r="B13" s="9">
        <v>792</v>
      </c>
      <c r="C13" s="10">
        <v>457</v>
      </c>
      <c r="D13" s="10">
        <v>1237</v>
      </c>
      <c r="E13" s="10">
        <v>1411</v>
      </c>
      <c r="F13" s="10">
        <v>2456</v>
      </c>
      <c r="G13" s="10">
        <v>1250</v>
      </c>
      <c r="H13" s="10">
        <v>386</v>
      </c>
      <c r="I13" s="10">
        <v>2073</v>
      </c>
      <c r="J13" s="10">
        <v>0</v>
      </c>
      <c r="K13" s="10">
        <v>2653</v>
      </c>
      <c r="L13" s="11">
        <v>2517</v>
      </c>
    </row>
    <row r="14" spans="1:15" x14ac:dyDescent="0.25">
      <c r="A14" s="3" t="s">
        <v>10</v>
      </c>
      <c r="B14" s="9">
        <v>2385</v>
      </c>
      <c r="C14" s="10">
        <v>2212</v>
      </c>
      <c r="D14" s="10">
        <v>1765</v>
      </c>
      <c r="E14" s="10">
        <v>1765</v>
      </c>
      <c r="F14" s="10">
        <v>403</v>
      </c>
      <c r="G14" s="10">
        <v>3097</v>
      </c>
      <c r="H14" s="10">
        <v>3036</v>
      </c>
      <c r="I14" s="10">
        <v>800</v>
      </c>
      <c r="J14" s="10">
        <v>2653</v>
      </c>
      <c r="K14" s="10">
        <v>0</v>
      </c>
      <c r="L14" s="11">
        <v>817</v>
      </c>
    </row>
    <row r="15" spans="1:15" ht="13" thickBot="1" x14ac:dyDescent="0.3">
      <c r="A15" s="2" t="s">
        <v>8</v>
      </c>
      <c r="B15" s="12">
        <v>2612</v>
      </c>
      <c r="C15" s="13">
        <v>2052</v>
      </c>
      <c r="D15" s="13">
        <v>2404</v>
      </c>
      <c r="E15" s="13">
        <v>1373</v>
      </c>
      <c r="F15" s="13">
        <v>1909</v>
      </c>
      <c r="G15" s="13">
        <v>3389</v>
      </c>
      <c r="H15" s="13">
        <v>2900</v>
      </c>
      <c r="I15" s="13">
        <v>1482</v>
      </c>
      <c r="J15" s="13">
        <v>2517</v>
      </c>
      <c r="K15" s="13">
        <v>817</v>
      </c>
      <c r="L15" s="14">
        <v>0</v>
      </c>
    </row>
    <row r="17" spans="1:15" ht="13" x14ac:dyDescent="0.3">
      <c r="A17" s="42" t="s">
        <v>12</v>
      </c>
      <c r="B17" s="43"/>
    </row>
    <row r="18" spans="1:15" ht="13.5" thickBot="1" x14ac:dyDescent="0.35">
      <c r="A18" s="1"/>
      <c r="B18" s="4" t="s">
        <v>1</v>
      </c>
      <c r="C18" s="4" t="s">
        <v>2</v>
      </c>
      <c r="D18" s="4" t="s">
        <v>3</v>
      </c>
      <c r="E18" s="4" t="s">
        <v>4</v>
      </c>
      <c r="F18" s="4" t="s">
        <v>9</v>
      </c>
      <c r="G18" s="4" t="s">
        <v>5</v>
      </c>
      <c r="H18" s="4" t="s">
        <v>11</v>
      </c>
      <c r="I18" s="4" t="s">
        <v>6</v>
      </c>
      <c r="J18" s="4" t="s">
        <v>7</v>
      </c>
      <c r="K18" s="4" t="s">
        <v>10</v>
      </c>
      <c r="L18" s="4" t="s">
        <v>8</v>
      </c>
      <c r="M18" s="4" t="s">
        <v>18</v>
      </c>
      <c r="O18" s="4" t="s">
        <v>19</v>
      </c>
    </row>
    <row r="19" spans="1:15" ht="13.5" thickTop="1" thickBot="1" x14ac:dyDescent="0.3">
      <c r="A19" t="s">
        <v>13</v>
      </c>
      <c r="B19" s="34">
        <v>1.1102230246675228E-16</v>
      </c>
      <c r="C19" s="35">
        <v>3.234329711406149E-29</v>
      </c>
      <c r="D19" s="35">
        <v>0.99999999998689759</v>
      </c>
      <c r="E19" s="35">
        <v>1.9997007649770445E-28</v>
      </c>
      <c r="F19" s="35">
        <v>2.7755575615628907E-17</v>
      </c>
      <c r="G19" s="35">
        <v>0</v>
      </c>
      <c r="H19" s="35">
        <v>0.99999999999333844</v>
      </c>
      <c r="I19" s="35">
        <v>8.5512476684866112E-12</v>
      </c>
      <c r="J19" s="35">
        <v>6.6613381477509392E-12</v>
      </c>
      <c r="K19" s="35">
        <v>0.99999999999144851</v>
      </c>
      <c r="L19" s="36">
        <v>2.7755575615718295E-17</v>
      </c>
      <c r="M19" s="5">
        <f>SUM(Included?)</f>
        <v>2.9999999999868971</v>
      </c>
      <c r="N19" s="55" t="s">
        <v>29</v>
      </c>
      <c r="O19" s="24">
        <v>3</v>
      </c>
    </row>
    <row r="20" spans="1:15" ht="13" thickTop="1" x14ac:dyDescent="0.25"/>
    <row r="21" spans="1:15" ht="13" x14ac:dyDescent="0.3">
      <c r="A21" s="42" t="s">
        <v>14</v>
      </c>
      <c r="B21" s="43"/>
      <c r="C21" s="43"/>
      <c r="D21" s="43"/>
      <c r="E21" s="43"/>
      <c r="F21" s="43"/>
    </row>
    <row r="22" spans="1:15" ht="13" thickBot="1" x14ac:dyDescent="0.3">
      <c r="B22" s="4" t="s">
        <v>1</v>
      </c>
      <c r="C22" s="4" t="s">
        <v>2</v>
      </c>
      <c r="D22" s="4" t="s">
        <v>3</v>
      </c>
      <c r="E22" s="4" t="s">
        <v>4</v>
      </c>
      <c r="F22" s="4" t="s">
        <v>9</v>
      </c>
      <c r="G22" s="4" t="s">
        <v>5</v>
      </c>
      <c r="H22" s="4" t="s">
        <v>11</v>
      </c>
      <c r="I22" s="4" t="s">
        <v>6</v>
      </c>
      <c r="J22" s="4" t="s">
        <v>7</v>
      </c>
      <c r="K22" s="4" t="s">
        <v>10</v>
      </c>
      <c r="L22" s="4" t="s">
        <v>8</v>
      </c>
      <c r="M22" s="4" t="s">
        <v>20</v>
      </c>
      <c r="O22" s="4" t="s">
        <v>16</v>
      </c>
    </row>
    <row r="23" spans="1:15" ht="13" thickTop="1" x14ac:dyDescent="0.25">
      <c r="A23" s="2" t="s">
        <v>1</v>
      </c>
      <c r="B23" s="45">
        <v>1.1102230246675228E-16</v>
      </c>
      <c r="C23" s="46">
        <v>0</v>
      </c>
      <c r="D23" s="46">
        <v>0</v>
      </c>
      <c r="E23" s="46">
        <v>0</v>
      </c>
      <c r="F23" s="46">
        <v>0</v>
      </c>
      <c r="G23" s="46">
        <v>0</v>
      </c>
      <c r="H23" s="46">
        <v>0.99999999999333844</v>
      </c>
      <c r="I23" s="46">
        <v>0</v>
      </c>
      <c r="J23" s="46">
        <v>0</v>
      </c>
      <c r="K23" s="46">
        <v>0</v>
      </c>
      <c r="L23" s="47">
        <v>0</v>
      </c>
      <c r="M23" s="37">
        <f t="shared" ref="M23:M33" si="0">SUM(B23:L23)</f>
        <v>0.99999999999333855</v>
      </c>
      <c r="N23" s="38" t="s">
        <v>24</v>
      </c>
      <c r="O23" s="5">
        <v>1</v>
      </c>
    </row>
    <row r="24" spans="1:15" x14ac:dyDescent="0.25">
      <c r="A24" s="2" t="s">
        <v>2</v>
      </c>
      <c r="B24" s="48">
        <v>1.4339934470031028E-16</v>
      </c>
      <c r="C24" s="49">
        <v>3.234329711406149E-29</v>
      </c>
      <c r="D24" s="49">
        <v>0</v>
      </c>
      <c r="E24" s="49">
        <v>0</v>
      </c>
      <c r="F24" s="49">
        <v>0</v>
      </c>
      <c r="G24" s="49">
        <v>0</v>
      </c>
      <c r="H24" s="49">
        <v>0.99999999999333844</v>
      </c>
      <c r="I24" s="49">
        <v>0</v>
      </c>
      <c r="J24" s="49">
        <v>6.6613381477509392E-12</v>
      </c>
      <c r="K24" s="49">
        <v>0</v>
      </c>
      <c r="L24" s="50">
        <v>0</v>
      </c>
      <c r="M24" s="37">
        <f t="shared" si="0"/>
        <v>0.99999999999999989</v>
      </c>
      <c r="N24" s="38" t="s">
        <v>24</v>
      </c>
      <c r="O24" s="5">
        <v>1</v>
      </c>
    </row>
    <row r="25" spans="1:15" x14ac:dyDescent="0.25">
      <c r="A25" t="s">
        <v>3</v>
      </c>
      <c r="B25" s="48">
        <v>0</v>
      </c>
      <c r="C25" s="49">
        <v>3.234329711406149E-29</v>
      </c>
      <c r="D25" s="49">
        <v>0.99999999998689759</v>
      </c>
      <c r="E25" s="49">
        <v>1.999700764977045E-28</v>
      </c>
      <c r="F25" s="49">
        <v>0</v>
      </c>
      <c r="G25" s="49">
        <v>0</v>
      </c>
      <c r="H25" s="49">
        <v>0</v>
      </c>
      <c r="I25" s="49">
        <v>8.5512476684866112E-12</v>
      </c>
      <c r="J25" s="49">
        <v>4.5511835130386392E-12</v>
      </c>
      <c r="K25" s="49">
        <v>0</v>
      </c>
      <c r="L25" s="50">
        <v>0</v>
      </c>
      <c r="M25" s="37">
        <f t="shared" si="0"/>
        <v>1</v>
      </c>
      <c r="N25" s="38" t="s">
        <v>24</v>
      </c>
      <c r="O25" s="5">
        <v>1</v>
      </c>
    </row>
    <row r="26" spans="1:15" x14ac:dyDescent="0.25">
      <c r="A26" t="s">
        <v>4</v>
      </c>
      <c r="B26" s="48">
        <v>0</v>
      </c>
      <c r="C26" s="49">
        <v>3.234329711406149E-29</v>
      </c>
      <c r="D26" s="49">
        <v>0.99999999999144873</v>
      </c>
      <c r="E26" s="49">
        <v>1.9997007649770445E-28</v>
      </c>
      <c r="F26" s="49">
        <v>2.7755575615628907E-17</v>
      </c>
      <c r="G26" s="49">
        <v>0</v>
      </c>
      <c r="H26" s="49">
        <v>0</v>
      </c>
      <c r="I26" s="49">
        <v>8.5512476684866112E-12</v>
      </c>
      <c r="J26" s="49">
        <v>0</v>
      </c>
      <c r="K26" s="49">
        <v>0</v>
      </c>
      <c r="L26" s="50">
        <v>0</v>
      </c>
      <c r="M26" s="37">
        <f t="shared" si="0"/>
        <v>1</v>
      </c>
      <c r="N26" s="38" t="s">
        <v>24</v>
      </c>
      <c r="O26" s="5">
        <v>1</v>
      </c>
    </row>
    <row r="27" spans="1:15" x14ac:dyDescent="0.25">
      <c r="A27" t="s">
        <v>9</v>
      </c>
      <c r="B27" s="48">
        <v>0</v>
      </c>
      <c r="C27" s="49">
        <v>0</v>
      </c>
      <c r="D27" s="49">
        <v>0</v>
      </c>
      <c r="E27" s="49">
        <v>0</v>
      </c>
      <c r="F27" s="49">
        <v>2.7755575615628907E-17</v>
      </c>
      <c r="G27" s="49">
        <v>0</v>
      </c>
      <c r="H27" s="49">
        <v>0</v>
      </c>
      <c r="I27" s="49">
        <v>8.5512476684866112E-12</v>
      </c>
      <c r="J27" s="49">
        <v>0</v>
      </c>
      <c r="K27" s="49">
        <v>0.99999999999144851</v>
      </c>
      <c r="L27" s="50">
        <v>0</v>
      </c>
      <c r="M27" s="37">
        <f t="shared" si="0"/>
        <v>0.99999999999999978</v>
      </c>
      <c r="N27" s="38" t="s">
        <v>24</v>
      </c>
      <c r="O27" s="5">
        <v>1</v>
      </c>
    </row>
    <row r="28" spans="1:15" x14ac:dyDescent="0.25">
      <c r="A28" t="s">
        <v>5</v>
      </c>
      <c r="B28" s="48">
        <v>0</v>
      </c>
      <c r="C28" s="49">
        <v>0</v>
      </c>
      <c r="D28" s="49">
        <v>1.4339934469824623E-16</v>
      </c>
      <c r="E28" s="49">
        <v>0</v>
      </c>
      <c r="F28" s="49">
        <v>0</v>
      </c>
      <c r="G28" s="49">
        <v>0</v>
      </c>
      <c r="H28" s="49">
        <v>0.99999999999333844</v>
      </c>
      <c r="I28" s="49">
        <v>0</v>
      </c>
      <c r="J28" s="49">
        <v>6.6613381477509392E-12</v>
      </c>
      <c r="K28" s="49">
        <v>0</v>
      </c>
      <c r="L28" s="50">
        <v>0</v>
      </c>
      <c r="M28" s="37">
        <f t="shared" si="0"/>
        <v>0.99999999999999989</v>
      </c>
      <c r="N28" s="38" t="s">
        <v>24</v>
      </c>
      <c r="O28" s="5">
        <v>1</v>
      </c>
    </row>
    <row r="29" spans="1:15" x14ac:dyDescent="0.25">
      <c r="A29" t="s">
        <v>11</v>
      </c>
      <c r="B29" s="48">
        <v>1.1102230246675228E-16</v>
      </c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49">
        <v>0.99999999999333844</v>
      </c>
      <c r="I29" s="49">
        <v>0</v>
      </c>
      <c r="J29" s="49">
        <v>6.6613381477509392E-12</v>
      </c>
      <c r="K29" s="49">
        <v>0</v>
      </c>
      <c r="L29" s="50">
        <v>0</v>
      </c>
      <c r="M29" s="37">
        <f t="shared" si="0"/>
        <v>0.99999999999999989</v>
      </c>
      <c r="N29" s="38" t="s">
        <v>24</v>
      </c>
      <c r="O29" s="5">
        <v>1</v>
      </c>
    </row>
    <row r="30" spans="1:15" x14ac:dyDescent="0.25">
      <c r="A30" t="s">
        <v>6</v>
      </c>
      <c r="B30" s="48">
        <v>0</v>
      </c>
      <c r="C30" s="49">
        <v>0</v>
      </c>
      <c r="D30" s="49">
        <v>0</v>
      </c>
      <c r="E30" s="49">
        <v>0</v>
      </c>
      <c r="F30" s="49">
        <v>2.7755575615628907E-17</v>
      </c>
      <c r="G30" s="49">
        <v>0</v>
      </c>
      <c r="H30" s="49">
        <v>0</v>
      </c>
      <c r="I30" s="49">
        <v>8.5512476684866112E-12</v>
      </c>
      <c r="J30" s="49">
        <v>0</v>
      </c>
      <c r="K30" s="49">
        <v>0.99999999999144851</v>
      </c>
      <c r="L30" s="50">
        <v>0</v>
      </c>
      <c r="M30" s="37">
        <f t="shared" si="0"/>
        <v>0.99999999999999978</v>
      </c>
      <c r="N30" s="38" t="s">
        <v>24</v>
      </c>
      <c r="O30" s="5">
        <v>1</v>
      </c>
    </row>
    <row r="31" spans="1:15" x14ac:dyDescent="0.25">
      <c r="A31" t="s">
        <v>7</v>
      </c>
      <c r="B31" s="48">
        <v>1.1102230246671996E-16</v>
      </c>
      <c r="C31" s="49">
        <v>0</v>
      </c>
      <c r="D31" s="49">
        <v>0</v>
      </c>
      <c r="E31" s="49">
        <v>0</v>
      </c>
      <c r="F31" s="49">
        <v>0</v>
      </c>
      <c r="G31" s="49">
        <v>0</v>
      </c>
      <c r="H31" s="49">
        <v>0.99999999999333855</v>
      </c>
      <c r="I31" s="49">
        <v>0</v>
      </c>
      <c r="J31" s="49">
        <v>6.6613381477509392E-12</v>
      </c>
      <c r="K31" s="49">
        <v>0</v>
      </c>
      <c r="L31" s="50">
        <v>0</v>
      </c>
      <c r="M31" s="37">
        <f t="shared" si="0"/>
        <v>1</v>
      </c>
      <c r="N31" s="38" t="s">
        <v>24</v>
      </c>
      <c r="O31" s="5">
        <v>1</v>
      </c>
    </row>
    <row r="32" spans="1:15" x14ac:dyDescent="0.25">
      <c r="A32" s="3" t="s">
        <v>10</v>
      </c>
      <c r="B32" s="48">
        <v>0</v>
      </c>
      <c r="C32" s="49">
        <v>0</v>
      </c>
      <c r="D32" s="49">
        <v>0</v>
      </c>
      <c r="E32" s="49">
        <v>0</v>
      </c>
      <c r="F32" s="49">
        <v>2.7755575615628907E-17</v>
      </c>
      <c r="G32" s="49">
        <v>0</v>
      </c>
      <c r="H32" s="49">
        <v>0</v>
      </c>
      <c r="I32" s="49">
        <v>8.5512476684866112E-12</v>
      </c>
      <c r="J32" s="49">
        <v>0</v>
      </c>
      <c r="K32" s="49">
        <v>0.99999999999144851</v>
      </c>
      <c r="L32" s="50">
        <v>0</v>
      </c>
      <c r="M32" s="37">
        <f t="shared" si="0"/>
        <v>0.99999999999999978</v>
      </c>
      <c r="N32" s="38" t="s">
        <v>24</v>
      </c>
      <c r="O32" s="5">
        <v>1</v>
      </c>
    </row>
    <row r="33" spans="1:15" ht="13" thickBot="1" x14ac:dyDescent="0.3">
      <c r="A33" s="2" t="s">
        <v>8</v>
      </c>
      <c r="B33" s="51">
        <v>0</v>
      </c>
      <c r="C33" s="52">
        <v>0</v>
      </c>
      <c r="D33" s="52">
        <v>0</v>
      </c>
      <c r="E33" s="52">
        <v>1.9997007649770445E-28</v>
      </c>
      <c r="F33" s="52">
        <v>0</v>
      </c>
      <c r="G33" s="52">
        <v>0</v>
      </c>
      <c r="H33" s="52">
        <v>0</v>
      </c>
      <c r="I33" s="52">
        <v>8.5512476684866112E-12</v>
      </c>
      <c r="J33" s="52">
        <v>0</v>
      </c>
      <c r="K33" s="52">
        <v>0.99999999999144851</v>
      </c>
      <c r="L33" s="53">
        <v>0</v>
      </c>
      <c r="M33" s="37">
        <f t="shared" si="0"/>
        <v>0.99999999999999978</v>
      </c>
      <c r="N33" s="38" t="s">
        <v>24</v>
      </c>
      <c r="O33" s="5">
        <v>1</v>
      </c>
    </row>
    <row r="34" spans="1:15" ht="13" thickTop="1" x14ac:dyDescent="0.25">
      <c r="A34" s="2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15"/>
      <c r="N34" s="38"/>
      <c r="O34" s="5"/>
    </row>
    <row r="35" spans="1:15" x14ac:dyDescent="0.25">
      <c r="A35" s="43" t="s">
        <v>15</v>
      </c>
      <c r="B35" s="4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5" x14ac:dyDescent="0.25">
      <c r="A36" s="2" t="s">
        <v>1</v>
      </c>
      <c r="B36" s="26">
        <f t="shared" ref="B36:L46" si="1" xml:space="preserve"> Included?</f>
        <v>1.1102230246675228E-16</v>
      </c>
      <c r="C36" s="27">
        <f t="shared" si="1"/>
        <v>3.234329711406149E-29</v>
      </c>
      <c r="D36" s="27">
        <f t="shared" si="1"/>
        <v>0.99999999998689759</v>
      </c>
      <c r="E36" s="27">
        <f t="shared" si="1"/>
        <v>1.9997007649770445E-28</v>
      </c>
      <c r="F36" s="27">
        <f t="shared" si="1"/>
        <v>2.7755575615628907E-17</v>
      </c>
      <c r="G36" s="27">
        <f t="shared" si="1"/>
        <v>0</v>
      </c>
      <c r="H36" s="27">
        <f t="shared" si="1"/>
        <v>0.99999999999333844</v>
      </c>
      <c r="I36" s="27">
        <f t="shared" si="1"/>
        <v>8.5512476684866112E-12</v>
      </c>
      <c r="J36" s="27">
        <f t="shared" si="1"/>
        <v>6.6613381477509392E-12</v>
      </c>
      <c r="K36" s="27">
        <f t="shared" si="1"/>
        <v>0.99999999999144851</v>
      </c>
      <c r="L36" s="28">
        <f t="shared" si="1"/>
        <v>2.7755575615718295E-17</v>
      </c>
    </row>
    <row r="37" spans="1:15" x14ac:dyDescent="0.25">
      <c r="A37" s="2" t="s">
        <v>2</v>
      </c>
      <c r="B37" s="29">
        <f t="shared" si="1"/>
        <v>1.1102230246675228E-16</v>
      </c>
      <c r="C37" s="25">
        <f t="shared" si="1"/>
        <v>3.234329711406149E-29</v>
      </c>
      <c r="D37" s="25">
        <f t="shared" si="1"/>
        <v>0.99999999998689759</v>
      </c>
      <c r="E37" s="25">
        <f t="shared" si="1"/>
        <v>1.9997007649770445E-28</v>
      </c>
      <c r="F37" s="25">
        <f t="shared" si="1"/>
        <v>2.7755575615628907E-17</v>
      </c>
      <c r="G37" s="25">
        <f t="shared" si="1"/>
        <v>0</v>
      </c>
      <c r="H37" s="25">
        <f t="shared" si="1"/>
        <v>0.99999999999333844</v>
      </c>
      <c r="I37" s="25">
        <f t="shared" si="1"/>
        <v>8.5512476684866112E-12</v>
      </c>
      <c r="J37" s="25">
        <f t="shared" si="1"/>
        <v>6.6613381477509392E-12</v>
      </c>
      <c r="K37" s="25">
        <f t="shared" si="1"/>
        <v>0.99999999999144851</v>
      </c>
      <c r="L37" s="30">
        <f t="shared" si="1"/>
        <v>2.7755575615718295E-17</v>
      </c>
    </row>
    <row r="38" spans="1:15" x14ac:dyDescent="0.25">
      <c r="A38" t="s">
        <v>3</v>
      </c>
      <c r="B38" s="29">
        <f t="shared" si="1"/>
        <v>1.1102230246675228E-16</v>
      </c>
      <c r="C38" s="25">
        <f t="shared" si="1"/>
        <v>3.234329711406149E-29</v>
      </c>
      <c r="D38" s="25">
        <f t="shared" si="1"/>
        <v>0.99999999998689759</v>
      </c>
      <c r="E38" s="25">
        <f t="shared" si="1"/>
        <v>1.9997007649770445E-28</v>
      </c>
      <c r="F38" s="25">
        <f t="shared" si="1"/>
        <v>2.7755575615628907E-17</v>
      </c>
      <c r="G38" s="25">
        <f t="shared" si="1"/>
        <v>0</v>
      </c>
      <c r="H38" s="25">
        <f t="shared" si="1"/>
        <v>0.99999999999333844</v>
      </c>
      <c r="I38" s="25">
        <f t="shared" si="1"/>
        <v>8.5512476684866112E-12</v>
      </c>
      <c r="J38" s="25">
        <f t="shared" si="1"/>
        <v>6.6613381477509392E-12</v>
      </c>
      <c r="K38" s="25">
        <f t="shared" si="1"/>
        <v>0.99999999999144851</v>
      </c>
      <c r="L38" s="30">
        <f t="shared" si="1"/>
        <v>2.7755575615718295E-17</v>
      </c>
    </row>
    <row r="39" spans="1:15" x14ac:dyDescent="0.25">
      <c r="A39" t="s">
        <v>4</v>
      </c>
      <c r="B39" s="29">
        <f t="shared" si="1"/>
        <v>1.1102230246675228E-16</v>
      </c>
      <c r="C39" s="25">
        <f t="shared" si="1"/>
        <v>3.234329711406149E-29</v>
      </c>
      <c r="D39" s="25">
        <f t="shared" si="1"/>
        <v>0.99999999998689759</v>
      </c>
      <c r="E39" s="25">
        <f t="shared" si="1"/>
        <v>1.9997007649770445E-28</v>
      </c>
      <c r="F39" s="25">
        <f t="shared" si="1"/>
        <v>2.7755575615628907E-17</v>
      </c>
      <c r="G39" s="25">
        <f t="shared" si="1"/>
        <v>0</v>
      </c>
      <c r="H39" s="25">
        <f t="shared" si="1"/>
        <v>0.99999999999333844</v>
      </c>
      <c r="I39" s="25">
        <f t="shared" si="1"/>
        <v>8.5512476684866112E-12</v>
      </c>
      <c r="J39" s="25">
        <f t="shared" si="1"/>
        <v>6.6613381477509392E-12</v>
      </c>
      <c r="K39" s="25">
        <f t="shared" si="1"/>
        <v>0.99999999999144851</v>
      </c>
      <c r="L39" s="30">
        <f t="shared" si="1"/>
        <v>2.7755575615718295E-17</v>
      </c>
    </row>
    <row r="40" spans="1:15" x14ac:dyDescent="0.25">
      <c r="A40" t="s">
        <v>9</v>
      </c>
      <c r="B40" s="29">
        <f t="shared" si="1"/>
        <v>1.1102230246675228E-16</v>
      </c>
      <c r="C40" s="25">
        <f t="shared" si="1"/>
        <v>3.234329711406149E-29</v>
      </c>
      <c r="D40" s="25">
        <f t="shared" si="1"/>
        <v>0.99999999998689759</v>
      </c>
      <c r="E40" s="25">
        <f t="shared" si="1"/>
        <v>1.9997007649770445E-28</v>
      </c>
      <c r="F40" s="25">
        <f t="shared" si="1"/>
        <v>2.7755575615628907E-17</v>
      </c>
      <c r="G40" s="25">
        <f t="shared" si="1"/>
        <v>0</v>
      </c>
      <c r="H40" s="25">
        <f t="shared" si="1"/>
        <v>0.99999999999333844</v>
      </c>
      <c r="I40" s="25">
        <f t="shared" si="1"/>
        <v>8.5512476684866112E-12</v>
      </c>
      <c r="J40" s="25">
        <f t="shared" si="1"/>
        <v>6.6613381477509392E-12</v>
      </c>
      <c r="K40" s="25">
        <f t="shared" si="1"/>
        <v>0.99999999999144851</v>
      </c>
      <c r="L40" s="30">
        <f t="shared" si="1"/>
        <v>2.7755575615718295E-17</v>
      </c>
    </row>
    <row r="41" spans="1:15" x14ac:dyDescent="0.25">
      <c r="A41" t="s">
        <v>5</v>
      </c>
      <c r="B41" s="29">
        <f t="shared" si="1"/>
        <v>1.1102230246675228E-16</v>
      </c>
      <c r="C41" s="25">
        <f t="shared" si="1"/>
        <v>3.234329711406149E-29</v>
      </c>
      <c r="D41" s="25">
        <f t="shared" si="1"/>
        <v>0.99999999998689759</v>
      </c>
      <c r="E41" s="25">
        <f t="shared" si="1"/>
        <v>1.9997007649770445E-28</v>
      </c>
      <c r="F41" s="25">
        <f t="shared" si="1"/>
        <v>2.7755575615628907E-17</v>
      </c>
      <c r="G41" s="25">
        <f t="shared" si="1"/>
        <v>0</v>
      </c>
      <c r="H41" s="25">
        <f t="shared" si="1"/>
        <v>0.99999999999333844</v>
      </c>
      <c r="I41" s="25">
        <f t="shared" si="1"/>
        <v>8.5512476684866112E-12</v>
      </c>
      <c r="J41" s="25">
        <f t="shared" si="1"/>
        <v>6.6613381477509392E-12</v>
      </c>
      <c r="K41" s="25">
        <f t="shared" si="1"/>
        <v>0.99999999999144851</v>
      </c>
      <c r="L41" s="30">
        <f t="shared" si="1"/>
        <v>2.7755575615718295E-17</v>
      </c>
    </row>
    <row r="42" spans="1:15" x14ac:dyDescent="0.25">
      <c r="A42" t="s">
        <v>11</v>
      </c>
      <c r="B42" s="29">
        <f t="shared" si="1"/>
        <v>1.1102230246675228E-16</v>
      </c>
      <c r="C42" s="25">
        <f t="shared" si="1"/>
        <v>3.234329711406149E-29</v>
      </c>
      <c r="D42" s="25">
        <f t="shared" si="1"/>
        <v>0.99999999998689759</v>
      </c>
      <c r="E42" s="25">
        <f t="shared" si="1"/>
        <v>1.9997007649770445E-28</v>
      </c>
      <c r="F42" s="25">
        <f t="shared" si="1"/>
        <v>2.7755575615628907E-17</v>
      </c>
      <c r="G42" s="25">
        <f t="shared" si="1"/>
        <v>0</v>
      </c>
      <c r="H42" s="25">
        <f t="shared" si="1"/>
        <v>0.99999999999333844</v>
      </c>
      <c r="I42" s="25">
        <f t="shared" si="1"/>
        <v>8.5512476684866112E-12</v>
      </c>
      <c r="J42" s="25">
        <f t="shared" si="1"/>
        <v>6.6613381477509392E-12</v>
      </c>
      <c r="K42" s="25">
        <f t="shared" si="1"/>
        <v>0.99999999999144851</v>
      </c>
      <c r="L42" s="30">
        <f t="shared" si="1"/>
        <v>2.7755575615718295E-17</v>
      </c>
    </row>
    <row r="43" spans="1:15" x14ac:dyDescent="0.25">
      <c r="A43" t="s">
        <v>6</v>
      </c>
      <c r="B43" s="29">
        <f t="shared" si="1"/>
        <v>1.1102230246675228E-16</v>
      </c>
      <c r="C43" s="25">
        <f t="shared" si="1"/>
        <v>3.234329711406149E-29</v>
      </c>
      <c r="D43" s="25">
        <f t="shared" si="1"/>
        <v>0.99999999998689759</v>
      </c>
      <c r="E43" s="25">
        <f t="shared" si="1"/>
        <v>1.9997007649770445E-28</v>
      </c>
      <c r="F43" s="25">
        <f t="shared" si="1"/>
        <v>2.7755575615628907E-17</v>
      </c>
      <c r="G43" s="25">
        <f t="shared" si="1"/>
        <v>0</v>
      </c>
      <c r="H43" s="25">
        <f t="shared" si="1"/>
        <v>0.99999999999333844</v>
      </c>
      <c r="I43" s="25">
        <f t="shared" si="1"/>
        <v>8.5512476684866112E-12</v>
      </c>
      <c r="J43" s="25">
        <f t="shared" si="1"/>
        <v>6.6613381477509392E-12</v>
      </c>
      <c r="K43" s="25">
        <f t="shared" si="1"/>
        <v>0.99999999999144851</v>
      </c>
      <c r="L43" s="30">
        <f t="shared" si="1"/>
        <v>2.7755575615718295E-17</v>
      </c>
    </row>
    <row r="44" spans="1:15" x14ac:dyDescent="0.25">
      <c r="A44" t="s">
        <v>7</v>
      </c>
      <c r="B44" s="29">
        <f t="shared" si="1"/>
        <v>1.1102230246675228E-16</v>
      </c>
      <c r="C44" s="25">
        <f t="shared" si="1"/>
        <v>3.234329711406149E-29</v>
      </c>
      <c r="D44" s="25">
        <f t="shared" si="1"/>
        <v>0.99999999998689759</v>
      </c>
      <c r="E44" s="25">
        <f t="shared" si="1"/>
        <v>1.9997007649770445E-28</v>
      </c>
      <c r="F44" s="25">
        <f t="shared" si="1"/>
        <v>2.7755575615628907E-17</v>
      </c>
      <c r="G44" s="25">
        <f t="shared" si="1"/>
        <v>0</v>
      </c>
      <c r="H44" s="25">
        <f t="shared" si="1"/>
        <v>0.99999999999333844</v>
      </c>
      <c r="I44" s="25">
        <f t="shared" si="1"/>
        <v>8.5512476684866112E-12</v>
      </c>
      <c r="J44" s="25">
        <f t="shared" si="1"/>
        <v>6.6613381477509392E-12</v>
      </c>
      <c r="K44" s="25">
        <f t="shared" si="1"/>
        <v>0.99999999999144851</v>
      </c>
      <c r="L44" s="30">
        <f t="shared" si="1"/>
        <v>2.7755575615718295E-17</v>
      </c>
    </row>
    <row r="45" spans="1:15" x14ac:dyDescent="0.25">
      <c r="A45" s="3" t="s">
        <v>10</v>
      </c>
      <c r="B45" s="29">
        <f t="shared" si="1"/>
        <v>1.1102230246675228E-16</v>
      </c>
      <c r="C45" s="25">
        <f t="shared" si="1"/>
        <v>3.234329711406149E-29</v>
      </c>
      <c r="D45" s="25">
        <f t="shared" si="1"/>
        <v>0.99999999998689759</v>
      </c>
      <c r="E45" s="25">
        <f t="shared" si="1"/>
        <v>1.9997007649770445E-28</v>
      </c>
      <c r="F45" s="25">
        <f t="shared" si="1"/>
        <v>2.7755575615628907E-17</v>
      </c>
      <c r="G45" s="25">
        <f t="shared" si="1"/>
        <v>0</v>
      </c>
      <c r="H45" s="25">
        <f t="shared" si="1"/>
        <v>0.99999999999333844</v>
      </c>
      <c r="I45" s="25">
        <f t="shared" si="1"/>
        <v>8.5512476684866112E-12</v>
      </c>
      <c r="J45" s="25">
        <f t="shared" si="1"/>
        <v>6.6613381477509392E-12</v>
      </c>
      <c r="K45" s="25">
        <f t="shared" si="1"/>
        <v>0.99999999999144851</v>
      </c>
      <c r="L45" s="30">
        <f t="shared" si="1"/>
        <v>2.7755575615718295E-17</v>
      </c>
    </row>
    <row r="46" spans="1:15" x14ac:dyDescent="0.25">
      <c r="A46" s="2" t="s">
        <v>8</v>
      </c>
      <c r="B46" s="31">
        <f t="shared" si="1"/>
        <v>1.1102230246675228E-16</v>
      </c>
      <c r="C46" s="32">
        <f t="shared" si="1"/>
        <v>3.234329711406149E-29</v>
      </c>
      <c r="D46" s="32">
        <f t="shared" si="1"/>
        <v>0.99999999998689759</v>
      </c>
      <c r="E46" s="32">
        <f t="shared" si="1"/>
        <v>1.9997007649770445E-28</v>
      </c>
      <c r="F46" s="32">
        <f t="shared" si="1"/>
        <v>2.7755575615628907E-17</v>
      </c>
      <c r="G46" s="32">
        <f t="shared" si="1"/>
        <v>0</v>
      </c>
      <c r="H46" s="32">
        <f t="shared" si="1"/>
        <v>0.99999999999333844</v>
      </c>
      <c r="I46" s="32">
        <f t="shared" si="1"/>
        <v>8.5512476684866112E-12</v>
      </c>
      <c r="J46" s="32">
        <f t="shared" si="1"/>
        <v>6.6613381477509392E-12</v>
      </c>
      <c r="K46" s="32">
        <f t="shared" si="1"/>
        <v>0.99999999999144851</v>
      </c>
      <c r="L46" s="33">
        <f t="shared" si="1"/>
        <v>2.7755575615718295E-17</v>
      </c>
    </row>
    <row r="48" spans="1:15" ht="13" x14ac:dyDescent="0.3">
      <c r="A48" s="42" t="s">
        <v>22</v>
      </c>
      <c r="B48" s="43"/>
      <c r="C48" s="43"/>
      <c r="D48" s="43"/>
      <c r="E48" s="43"/>
      <c r="F48" s="43"/>
      <c r="G48" s="43"/>
    </row>
    <row r="49" spans="1:3" ht="13.5" thickBot="1" x14ac:dyDescent="0.35">
      <c r="A49" s="1"/>
      <c r="B49" s="4" t="s">
        <v>21</v>
      </c>
      <c r="C49" s="40" t="s">
        <v>25</v>
      </c>
    </row>
    <row r="50" spans="1:3" x14ac:dyDescent="0.25">
      <c r="A50" s="2" t="s">
        <v>1</v>
      </c>
      <c r="B50" s="18">
        <v>885</v>
      </c>
      <c r="C50" s="15">
        <f t="shared" ref="C50:C60" si="2" xml:space="preserve"> Annual_trips * SUMPRODUCT(B5:L5, B23:L23) / 1000</f>
        <v>188.50499999874427</v>
      </c>
    </row>
    <row r="51" spans="1:3" x14ac:dyDescent="0.25">
      <c r="A51" s="2" t="s">
        <v>2</v>
      </c>
      <c r="B51" s="19">
        <v>760</v>
      </c>
      <c r="C51" s="15">
        <f t="shared" si="2"/>
        <v>638.39999999806093</v>
      </c>
    </row>
    <row r="52" spans="1:3" x14ac:dyDescent="0.25">
      <c r="A52" t="s">
        <v>3</v>
      </c>
      <c r="B52" s="19">
        <v>1124</v>
      </c>
      <c r="C52" s="15">
        <f t="shared" si="2"/>
        <v>1.6199026585948948E-8</v>
      </c>
    </row>
    <row r="53" spans="1:3" x14ac:dyDescent="0.25">
      <c r="A53" t="s">
        <v>4</v>
      </c>
      <c r="B53" s="19">
        <v>708</v>
      </c>
      <c r="C53" s="15">
        <f t="shared" si="2"/>
        <v>567.10800000021186</v>
      </c>
    </row>
    <row r="54" spans="1:3" x14ac:dyDescent="0.25">
      <c r="A54" t="s">
        <v>9</v>
      </c>
      <c r="B54" s="19">
        <v>1224</v>
      </c>
      <c r="C54" s="15">
        <f t="shared" si="2"/>
        <v>493.27199999994758</v>
      </c>
    </row>
    <row r="55" spans="1:3" x14ac:dyDescent="0.25">
      <c r="A55" t="s">
        <v>5</v>
      </c>
      <c r="B55" s="19">
        <v>1152</v>
      </c>
      <c r="C55" s="15">
        <f t="shared" si="2"/>
        <v>1449.2159999999385</v>
      </c>
    </row>
    <row r="56" spans="1:3" x14ac:dyDescent="0.25">
      <c r="A56" t="s">
        <v>11</v>
      </c>
      <c r="B56" s="19">
        <v>1560</v>
      </c>
      <c r="C56" s="15">
        <f t="shared" si="2"/>
        <v>4.0112282695403696E-9</v>
      </c>
    </row>
    <row r="57" spans="1:3" x14ac:dyDescent="0.25">
      <c r="A57" t="s">
        <v>6</v>
      </c>
      <c r="B57" s="19">
        <v>1222</v>
      </c>
      <c r="C57" s="15">
        <f t="shared" si="2"/>
        <v>977.59999999163995</v>
      </c>
    </row>
    <row r="58" spans="1:3" x14ac:dyDescent="0.25">
      <c r="A58" t="s">
        <v>7</v>
      </c>
      <c r="B58" s="19">
        <v>856</v>
      </c>
      <c r="C58" s="15">
        <f t="shared" si="2"/>
        <v>330.41599999779908</v>
      </c>
    </row>
    <row r="59" spans="1:3" x14ac:dyDescent="0.25">
      <c r="A59" s="3" t="s">
        <v>10</v>
      </c>
      <c r="B59" s="19">
        <v>1443</v>
      </c>
      <c r="C59" s="15">
        <f t="shared" si="2"/>
        <v>9.8715764491730763E-9</v>
      </c>
    </row>
    <row r="60" spans="1:3" ht="13" thickBot="1" x14ac:dyDescent="0.3">
      <c r="A60" s="2" t="s">
        <v>8</v>
      </c>
      <c r="B60" s="20">
        <v>612</v>
      </c>
      <c r="C60" s="15">
        <f t="shared" si="2"/>
        <v>500.00400000348003</v>
      </c>
    </row>
    <row r="61" spans="1:3" x14ac:dyDescent="0.25">
      <c r="A61" s="2"/>
    </row>
    <row r="62" spans="1:3" ht="13.5" thickBot="1" x14ac:dyDescent="0.35">
      <c r="A62" s="42" t="s">
        <v>23</v>
      </c>
      <c r="B62" s="43"/>
    </row>
    <row r="63" spans="1:3" ht="13.5" thickTop="1" thickBot="1" x14ac:dyDescent="0.3">
      <c r="A63" t="s">
        <v>17</v>
      </c>
      <c r="B63" s="41">
        <f xml:space="preserve"> SUM(Total_annual_distance)</f>
        <v>5144.521000019904</v>
      </c>
    </row>
    <row r="64" spans="1:3" ht="13" thickTop="1" x14ac:dyDescent="0.25"/>
    <row r="65" spans="1:1" ht="13" x14ac:dyDescent="0.3">
      <c r="A65" s="1"/>
    </row>
  </sheetData>
  <mergeCells count="1">
    <mergeCell ref="A1:B1"/>
  </mergeCells>
  <phoneticPr fontId="5" type="noConversion"/>
  <conditionalFormatting sqref="B19:L19">
    <cfRule type="cellIs" dxfId="5" priority="1" stopIfTrue="1" operator="greaterThan">
      <formula>0.5</formula>
    </cfRule>
  </conditionalFormatting>
  <conditionalFormatting sqref="B23:L33">
    <cfRule type="cellIs" dxfId="4" priority="2" operator="greaterThan">
      <formula>0.5</formula>
    </cfRule>
  </conditionalFormatting>
  <printOptions headings="1" gridLines="1"/>
  <pageMargins left="0.75" right="0.75" top="1" bottom="1" header="0.5" footer="0.5"/>
  <pageSetup scale="5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7"/>
  <sheetViews>
    <sheetView zoomScale="75" workbookViewId="0">
      <selection activeCell="K59" sqref="K59"/>
    </sheetView>
  </sheetViews>
  <sheetFormatPr defaultRowHeight="12.5" x14ac:dyDescent="0.25"/>
  <cols>
    <col min="1" max="1" width="23.08984375" customWidth="1"/>
    <col min="2" max="12" width="13.08984375" customWidth="1"/>
    <col min="13" max="13" width="19.453125" bestFit="1" customWidth="1"/>
    <col min="14" max="14" width="20.6328125" bestFit="1" customWidth="1"/>
  </cols>
  <sheetData>
    <row r="1" spans="1:15" ht="13" x14ac:dyDescent="0.3">
      <c r="A1" s="58" t="s">
        <v>26</v>
      </c>
      <c r="B1" s="58"/>
      <c r="C1" s="43"/>
      <c r="D1" s="43"/>
      <c r="E1" s="43"/>
    </row>
    <row r="3" spans="1:15" ht="13" x14ac:dyDescent="0.3">
      <c r="A3" s="42" t="s">
        <v>0</v>
      </c>
      <c r="B3" s="43"/>
      <c r="N3" s="1"/>
    </row>
    <row r="4" spans="1:15" ht="13" thickBot="1" x14ac:dyDescent="0.3">
      <c r="A4" s="2"/>
      <c r="B4" s="4" t="s">
        <v>1</v>
      </c>
      <c r="C4" s="4" t="s">
        <v>2</v>
      </c>
      <c r="D4" s="4" t="s">
        <v>3</v>
      </c>
      <c r="E4" s="4" t="s">
        <v>4</v>
      </c>
      <c r="F4" s="4" t="s">
        <v>9</v>
      </c>
      <c r="G4" s="4" t="s">
        <v>5</v>
      </c>
      <c r="H4" s="4" t="s">
        <v>11</v>
      </c>
      <c r="I4" s="4" t="s">
        <v>6</v>
      </c>
      <c r="J4" s="4" t="s">
        <v>7</v>
      </c>
      <c r="K4" s="4" t="s">
        <v>10</v>
      </c>
      <c r="L4" s="4" t="s">
        <v>8</v>
      </c>
      <c r="N4" s="17"/>
      <c r="O4" s="16"/>
    </row>
    <row r="5" spans="1:15" x14ac:dyDescent="0.25">
      <c r="A5" s="2" t="s">
        <v>1</v>
      </c>
      <c r="B5" s="6">
        <v>0</v>
      </c>
      <c r="C5" s="7">
        <v>983</v>
      </c>
      <c r="D5" s="7">
        <v>1815</v>
      </c>
      <c r="E5" s="7">
        <v>1991</v>
      </c>
      <c r="F5" s="7">
        <v>3036</v>
      </c>
      <c r="G5" s="7">
        <v>1539</v>
      </c>
      <c r="H5" s="7">
        <v>213</v>
      </c>
      <c r="I5" s="7">
        <v>2664</v>
      </c>
      <c r="J5" s="7">
        <v>792</v>
      </c>
      <c r="K5" s="7">
        <v>2385</v>
      </c>
      <c r="L5" s="8">
        <v>2612</v>
      </c>
      <c r="N5" s="16"/>
      <c r="O5" s="16"/>
    </row>
    <row r="6" spans="1:15" x14ac:dyDescent="0.25">
      <c r="A6" s="2" t="s">
        <v>2</v>
      </c>
      <c r="B6" s="9">
        <v>983</v>
      </c>
      <c r="C6" s="10">
        <v>0</v>
      </c>
      <c r="D6" s="10">
        <v>1205</v>
      </c>
      <c r="E6" s="10">
        <v>1050</v>
      </c>
      <c r="F6" s="10">
        <v>2112</v>
      </c>
      <c r="G6" s="10">
        <v>1390</v>
      </c>
      <c r="H6" s="10">
        <v>840</v>
      </c>
      <c r="I6" s="10">
        <v>1729</v>
      </c>
      <c r="J6" s="10">
        <v>457</v>
      </c>
      <c r="K6" s="10">
        <v>2212</v>
      </c>
      <c r="L6" s="11">
        <v>2052</v>
      </c>
      <c r="N6" s="16"/>
      <c r="O6" s="16"/>
    </row>
    <row r="7" spans="1:15" x14ac:dyDescent="0.25">
      <c r="A7" t="s">
        <v>3</v>
      </c>
      <c r="B7" s="9">
        <v>1815</v>
      </c>
      <c r="C7" s="10">
        <v>1205</v>
      </c>
      <c r="D7" s="10">
        <v>0</v>
      </c>
      <c r="E7" s="10">
        <v>801</v>
      </c>
      <c r="F7" s="10">
        <v>1425</v>
      </c>
      <c r="G7" s="10">
        <v>1332</v>
      </c>
      <c r="H7" s="10">
        <v>1604</v>
      </c>
      <c r="I7" s="10">
        <v>1027</v>
      </c>
      <c r="J7" s="10">
        <v>1237</v>
      </c>
      <c r="K7" s="10">
        <v>1765</v>
      </c>
      <c r="L7" s="11">
        <v>2404</v>
      </c>
      <c r="N7" s="16"/>
      <c r="O7" s="16"/>
    </row>
    <row r="8" spans="1:15" x14ac:dyDescent="0.25">
      <c r="A8" t="s">
        <v>4</v>
      </c>
      <c r="B8" s="9">
        <v>1991</v>
      </c>
      <c r="C8" s="10">
        <v>1050</v>
      </c>
      <c r="D8" s="10">
        <v>801</v>
      </c>
      <c r="E8" s="10">
        <v>0</v>
      </c>
      <c r="F8" s="10">
        <v>1174</v>
      </c>
      <c r="G8" s="10">
        <v>2041</v>
      </c>
      <c r="H8" s="10">
        <v>1780</v>
      </c>
      <c r="I8" s="10">
        <v>836</v>
      </c>
      <c r="J8" s="10">
        <v>1411</v>
      </c>
      <c r="K8" s="10">
        <v>1765</v>
      </c>
      <c r="L8" s="11">
        <v>1373</v>
      </c>
      <c r="N8" s="16"/>
      <c r="O8" s="16"/>
    </row>
    <row r="9" spans="1:15" x14ac:dyDescent="0.25">
      <c r="A9" t="s">
        <v>9</v>
      </c>
      <c r="B9" s="9">
        <v>3036</v>
      </c>
      <c r="C9" s="10">
        <v>2112</v>
      </c>
      <c r="D9" s="10">
        <v>1425</v>
      </c>
      <c r="E9" s="10">
        <v>1174</v>
      </c>
      <c r="F9" s="10">
        <v>0</v>
      </c>
      <c r="G9" s="10">
        <v>2757</v>
      </c>
      <c r="H9" s="10">
        <v>2825</v>
      </c>
      <c r="I9" s="10">
        <v>398</v>
      </c>
      <c r="J9" s="10">
        <v>2456</v>
      </c>
      <c r="K9" s="10">
        <v>403</v>
      </c>
      <c r="L9" s="11">
        <v>1909</v>
      </c>
      <c r="N9" s="16"/>
      <c r="O9" s="16"/>
    </row>
    <row r="10" spans="1:15" x14ac:dyDescent="0.25">
      <c r="A10" t="s">
        <v>5</v>
      </c>
      <c r="B10" s="9">
        <v>1539</v>
      </c>
      <c r="C10" s="10">
        <v>1390</v>
      </c>
      <c r="D10" s="10">
        <v>1332</v>
      </c>
      <c r="E10" s="10">
        <v>2041</v>
      </c>
      <c r="F10" s="10">
        <v>2757</v>
      </c>
      <c r="G10" s="10">
        <v>0</v>
      </c>
      <c r="H10" s="10">
        <v>1258</v>
      </c>
      <c r="I10" s="10">
        <v>2359</v>
      </c>
      <c r="J10" s="10">
        <v>1250</v>
      </c>
      <c r="K10" s="10">
        <v>3097</v>
      </c>
      <c r="L10" s="11">
        <v>3389</v>
      </c>
      <c r="N10" s="16"/>
      <c r="O10" s="16"/>
    </row>
    <row r="11" spans="1:15" x14ac:dyDescent="0.25">
      <c r="A11" t="s">
        <v>11</v>
      </c>
      <c r="B11" s="9">
        <v>213</v>
      </c>
      <c r="C11" s="10">
        <v>840</v>
      </c>
      <c r="D11" s="10">
        <v>1604</v>
      </c>
      <c r="E11" s="10">
        <v>1780</v>
      </c>
      <c r="F11" s="10">
        <v>2825</v>
      </c>
      <c r="G11" s="10">
        <v>1258</v>
      </c>
      <c r="H11" s="10">
        <v>0</v>
      </c>
      <c r="I11" s="10">
        <v>2442</v>
      </c>
      <c r="J11" s="10">
        <v>386</v>
      </c>
      <c r="K11" s="10">
        <v>3036</v>
      </c>
      <c r="L11" s="11">
        <v>2900</v>
      </c>
    </row>
    <row r="12" spans="1:15" x14ac:dyDescent="0.25">
      <c r="A12" t="s">
        <v>6</v>
      </c>
      <c r="B12" s="9">
        <v>2664</v>
      </c>
      <c r="C12" s="10">
        <v>1729</v>
      </c>
      <c r="D12" s="10">
        <v>1027</v>
      </c>
      <c r="E12" s="10">
        <v>836</v>
      </c>
      <c r="F12" s="10">
        <v>398</v>
      </c>
      <c r="G12" s="10">
        <v>2359</v>
      </c>
      <c r="H12" s="10">
        <v>2442</v>
      </c>
      <c r="I12" s="10">
        <v>0</v>
      </c>
      <c r="J12" s="10">
        <v>2073</v>
      </c>
      <c r="K12" s="10">
        <v>800</v>
      </c>
      <c r="L12" s="11">
        <v>1482</v>
      </c>
    </row>
    <row r="13" spans="1:15" x14ac:dyDescent="0.25">
      <c r="A13" t="s">
        <v>7</v>
      </c>
      <c r="B13" s="9">
        <v>792</v>
      </c>
      <c r="C13" s="10">
        <v>457</v>
      </c>
      <c r="D13" s="10">
        <v>1237</v>
      </c>
      <c r="E13" s="10">
        <v>1411</v>
      </c>
      <c r="F13" s="10">
        <v>2456</v>
      </c>
      <c r="G13" s="10">
        <v>1250</v>
      </c>
      <c r="H13" s="10">
        <v>386</v>
      </c>
      <c r="I13" s="10">
        <v>2073</v>
      </c>
      <c r="J13" s="10">
        <v>0</v>
      </c>
      <c r="K13" s="10">
        <v>2653</v>
      </c>
      <c r="L13" s="11">
        <v>2517</v>
      </c>
    </row>
    <row r="14" spans="1:15" x14ac:dyDescent="0.25">
      <c r="A14" s="3" t="s">
        <v>10</v>
      </c>
      <c r="B14" s="9">
        <v>2385</v>
      </c>
      <c r="C14" s="10">
        <v>2212</v>
      </c>
      <c r="D14" s="10">
        <v>1765</v>
      </c>
      <c r="E14" s="10">
        <v>1765</v>
      </c>
      <c r="F14" s="10">
        <v>403</v>
      </c>
      <c r="G14" s="10">
        <v>3097</v>
      </c>
      <c r="H14" s="10">
        <v>3036</v>
      </c>
      <c r="I14" s="10">
        <v>800</v>
      </c>
      <c r="J14" s="10">
        <v>2653</v>
      </c>
      <c r="K14" s="10">
        <v>0</v>
      </c>
      <c r="L14" s="11">
        <v>817</v>
      </c>
    </row>
    <row r="15" spans="1:15" ht="13" thickBot="1" x14ac:dyDescent="0.3">
      <c r="A15" s="2" t="s">
        <v>8</v>
      </c>
      <c r="B15" s="12">
        <v>2612</v>
      </c>
      <c r="C15" s="13">
        <v>2052</v>
      </c>
      <c r="D15" s="13">
        <v>2404</v>
      </c>
      <c r="E15" s="13">
        <v>1373</v>
      </c>
      <c r="F15" s="13">
        <v>1909</v>
      </c>
      <c r="G15" s="13">
        <v>3389</v>
      </c>
      <c r="H15" s="13">
        <v>2900</v>
      </c>
      <c r="I15" s="13">
        <v>1482</v>
      </c>
      <c r="J15" s="13">
        <v>2517</v>
      </c>
      <c r="K15" s="13">
        <v>817</v>
      </c>
      <c r="L15" s="14">
        <v>0</v>
      </c>
    </row>
    <row r="17" spans="1:15" ht="13" x14ac:dyDescent="0.3">
      <c r="A17" s="42" t="s">
        <v>12</v>
      </c>
      <c r="B17" s="43"/>
    </row>
    <row r="18" spans="1:15" ht="13.5" thickBot="1" x14ac:dyDescent="0.35">
      <c r="A18" s="1"/>
      <c r="B18" s="4" t="s">
        <v>1</v>
      </c>
      <c r="C18" s="4" t="s">
        <v>2</v>
      </c>
      <c r="D18" s="4" t="s">
        <v>3</v>
      </c>
      <c r="E18" s="4" t="s">
        <v>4</v>
      </c>
      <c r="F18" s="4" t="s">
        <v>9</v>
      </c>
      <c r="G18" s="4" t="s">
        <v>5</v>
      </c>
      <c r="H18" s="4" t="s">
        <v>11</v>
      </c>
      <c r="I18" s="4" t="s">
        <v>6</v>
      </c>
      <c r="J18" s="4" t="s">
        <v>7</v>
      </c>
      <c r="K18" s="4" t="s">
        <v>10</v>
      </c>
      <c r="L18" s="4" t="s">
        <v>8</v>
      </c>
      <c r="M18" s="4" t="s">
        <v>18</v>
      </c>
      <c r="O18" s="4" t="s">
        <v>19</v>
      </c>
    </row>
    <row r="19" spans="1:15" ht="13.5" thickTop="1" thickBot="1" x14ac:dyDescent="0.3">
      <c r="A19" t="s">
        <v>13</v>
      </c>
      <c r="B19" s="34">
        <v>1.1102230246675228E-16</v>
      </c>
      <c r="C19" s="35">
        <v>1</v>
      </c>
      <c r="D19" s="35">
        <v>0</v>
      </c>
      <c r="E19" s="35">
        <v>1.9997007649770445E-28</v>
      </c>
      <c r="F19" s="35">
        <v>2.7755575615628907E-17</v>
      </c>
      <c r="G19" s="35">
        <v>0</v>
      </c>
      <c r="H19" s="35">
        <v>0.99999999999333844</v>
      </c>
      <c r="I19" s="35">
        <v>8.5512476684866112E-12</v>
      </c>
      <c r="J19" s="35">
        <v>6.6613381477509392E-12</v>
      </c>
      <c r="K19" s="35">
        <v>0.99999999999144851</v>
      </c>
      <c r="L19" s="36">
        <v>2.7755575615718295E-17</v>
      </c>
      <c r="M19" s="5">
        <f>SUM(Included?)</f>
        <v>2.9999999999999996</v>
      </c>
      <c r="N19" s="55" t="s">
        <v>28</v>
      </c>
      <c r="O19" s="24">
        <v>3</v>
      </c>
    </row>
    <row r="20" spans="1:15" ht="13" thickTop="1" x14ac:dyDescent="0.25"/>
    <row r="21" spans="1:15" ht="13" x14ac:dyDescent="0.3">
      <c r="A21" s="42" t="s">
        <v>14</v>
      </c>
      <c r="B21" s="43"/>
      <c r="C21" s="43"/>
      <c r="D21" s="43"/>
      <c r="E21" s="43"/>
      <c r="F21" s="43"/>
    </row>
    <row r="22" spans="1:15" ht="13" thickBot="1" x14ac:dyDescent="0.3">
      <c r="B22" s="4" t="s">
        <v>1</v>
      </c>
      <c r="C22" s="4" t="s">
        <v>2</v>
      </c>
      <c r="D22" s="4" t="s">
        <v>3</v>
      </c>
      <c r="E22" s="4" t="s">
        <v>4</v>
      </c>
      <c r="F22" s="4" t="s">
        <v>9</v>
      </c>
      <c r="G22" s="4" t="s">
        <v>5</v>
      </c>
      <c r="H22" s="4" t="s">
        <v>11</v>
      </c>
      <c r="I22" s="4" t="s">
        <v>6</v>
      </c>
      <c r="J22" s="4" t="s">
        <v>7</v>
      </c>
      <c r="K22" s="4" t="s">
        <v>10</v>
      </c>
      <c r="L22" s="4" t="s">
        <v>8</v>
      </c>
      <c r="M22" s="4" t="s">
        <v>20</v>
      </c>
      <c r="O22" s="4" t="s">
        <v>16</v>
      </c>
    </row>
    <row r="23" spans="1:15" ht="13" thickTop="1" x14ac:dyDescent="0.25">
      <c r="A23" s="2" t="s">
        <v>1</v>
      </c>
      <c r="B23" s="45">
        <v>1.1102230246675228E-16</v>
      </c>
      <c r="C23" s="46">
        <v>0</v>
      </c>
      <c r="D23" s="46">
        <v>0</v>
      </c>
      <c r="E23" s="46">
        <v>0</v>
      </c>
      <c r="F23" s="46">
        <v>0</v>
      </c>
      <c r="G23" s="46">
        <v>0</v>
      </c>
      <c r="H23" s="46">
        <v>0.99999999999333844</v>
      </c>
      <c r="I23" s="46">
        <v>0</v>
      </c>
      <c r="J23" s="46">
        <v>0</v>
      </c>
      <c r="K23" s="46">
        <v>0</v>
      </c>
      <c r="L23" s="47">
        <v>0</v>
      </c>
      <c r="M23" s="37">
        <f t="shared" ref="M23:M33" si="0">SUM(B23:L23)</f>
        <v>0.99999999999333855</v>
      </c>
      <c r="N23" s="38" t="s">
        <v>24</v>
      </c>
      <c r="O23" s="5">
        <v>1</v>
      </c>
    </row>
    <row r="24" spans="1:15" x14ac:dyDescent="0.25">
      <c r="A24" s="2" t="s">
        <v>2</v>
      </c>
      <c r="B24" s="48">
        <v>1.4339934470031028E-16</v>
      </c>
      <c r="C24" s="49">
        <v>3.234329711406149E-29</v>
      </c>
      <c r="D24" s="49">
        <v>0</v>
      </c>
      <c r="E24" s="49">
        <v>0</v>
      </c>
      <c r="F24" s="49">
        <v>0</v>
      </c>
      <c r="G24" s="49">
        <v>1</v>
      </c>
      <c r="H24" s="49">
        <v>0</v>
      </c>
      <c r="I24" s="49">
        <v>0</v>
      </c>
      <c r="J24" s="49">
        <v>6.6613381477509392E-12</v>
      </c>
      <c r="K24" s="49">
        <v>0</v>
      </c>
      <c r="L24" s="50">
        <v>0</v>
      </c>
      <c r="M24" s="37">
        <f t="shared" si="0"/>
        <v>1.0000000000066616</v>
      </c>
      <c r="N24" s="38" t="s">
        <v>24</v>
      </c>
      <c r="O24" s="5">
        <v>1</v>
      </c>
    </row>
    <row r="25" spans="1:15" x14ac:dyDescent="0.25">
      <c r="A25" t="s">
        <v>3</v>
      </c>
      <c r="B25" s="48">
        <v>0</v>
      </c>
      <c r="C25" s="49">
        <v>1</v>
      </c>
      <c r="D25" s="49">
        <v>0</v>
      </c>
      <c r="E25" s="49">
        <v>1.999700764977045E-28</v>
      </c>
      <c r="F25" s="49">
        <v>0</v>
      </c>
      <c r="G25" s="49">
        <v>0</v>
      </c>
      <c r="H25" s="49">
        <v>0</v>
      </c>
      <c r="I25" s="49">
        <v>8.5512476684866112E-12</v>
      </c>
      <c r="J25" s="49">
        <v>4.5511835130386392E-12</v>
      </c>
      <c r="K25" s="49">
        <v>0</v>
      </c>
      <c r="L25" s="50">
        <v>0</v>
      </c>
      <c r="M25" s="37">
        <f t="shared" si="0"/>
        <v>1.0000000000131024</v>
      </c>
      <c r="N25" s="38" t="s">
        <v>24</v>
      </c>
      <c r="O25" s="5">
        <v>1</v>
      </c>
    </row>
    <row r="26" spans="1:15" x14ac:dyDescent="0.25">
      <c r="A26" t="s">
        <v>4</v>
      </c>
      <c r="B26" s="48">
        <v>0</v>
      </c>
      <c r="C26" s="49">
        <v>3.234329711406149E-29</v>
      </c>
      <c r="D26" s="49">
        <v>0.99999999999144873</v>
      </c>
      <c r="E26" s="49">
        <v>1.9997007649770445E-28</v>
      </c>
      <c r="F26" s="49">
        <v>2.7755575615628907E-17</v>
      </c>
      <c r="G26" s="49">
        <v>0</v>
      </c>
      <c r="H26" s="49">
        <v>0</v>
      </c>
      <c r="I26" s="49">
        <v>8.5512476684866112E-12</v>
      </c>
      <c r="J26" s="49">
        <v>0</v>
      </c>
      <c r="K26" s="49">
        <v>0</v>
      </c>
      <c r="L26" s="50">
        <v>0</v>
      </c>
      <c r="M26" s="37">
        <f t="shared" si="0"/>
        <v>1</v>
      </c>
      <c r="N26" s="38" t="s">
        <v>24</v>
      </c>
      <c r="O26" s="5">
        <v>1</v>
      </c>
    </row>
    <row r="27" spans="1:15" x14ac:dyDescent="0.25">
      <c r="A27" t="s">
        <v>9</v>
      </c>
      <c r="B27" s="48">
        <v>0</v>
      </c>
      <c r="C27" s="49">
        <v>0</v>
      </c>
      <c r="D27" s="49">
        <v>0</v>
      </c>
      <c r="E27" s="49">
        <v>0</v>
      </c>
      <c r="F27" s="49">
        <v>2.7755575615628907E-17</v>
      </c>
      <c r="G27" s="49">
        <v>0</v>
      </c>
      <c r="H27" s="49">
        <v>0</v>
      </c>
      <c r="I27" s="49">
        <v>8.5512476684866112E-12</v>
      </c>
      <c r="J27" s="49">
        <v>0</v>
      </c>
      <c r="K27" s="49">
        <v>0.99999999999144851</v>
      </c>
      <c r="L27" s="50">
        <v>0</v>
      </c>
      <c r="M27" s="37">
        <f t="shared" si="0"/>
        <v>0.99999999999999978</v>
      </c>
      <c r="N27" s="38" t="s">
        <v>24</v>
      </c>
      <c r="O27" s="5">
        <v>1</v>
      </c>
    </row>
    <row r="28" spans="1:15" x14ac:dyDescent="0.25">
      <c r="A28" t="s">
        <v>5</v>
      </c>
      <c r="B28" s="48">
        <v>0</v>
      </c>
      <c r="C28" s="49">
        <v>0</v>
      </c>
      <c r="D28" s="49">
        <v>1.4339934469824623E-16</v>
      </c>
      <c r="E28" s="49">
        <v>0</v>
      </c>
      <c r="F28" s="49">
        <v>0</v>
      </c>
      <c r="G28" s="49">
        <v>0</v>
      </c>
      <c r="H28" s="49">
        <v>0.99999999999333844</v>
      </c>
      <c r="I28" s="49">
        <v>0</v>
      </c>
      <c r="J28" s="49">
        <v>6.6613381477509392E-12</v>
      </c>
      <c r="K28" s="49">
        <v>0</v>
      </c>
      <c r="L28" s="50">
        <v>0</v>
      </c>
      <c r="M28" s="37">
        <f t="shared" si="0"/>
        <v>0.99999999999999989</v>
      </c>
      <c r="N28" s="38" t="s">
        <v>24</v>
      </c>
      <c r="O28" s="5">
        <v>1</v>
      </c>
    </row>
    <row r="29" spans="1:15" x14ac:dyDescent="0.25">
      <c r="A29" t="s">
        <v>11</v>
      </c>
      <c r="B29" s="48">
        <v>1.1102230246675228E-16</v>
      </c>
      <c r="C29" s="49">
        <v>0</v>
      </c>
      <c r="D29" s="49">
        <v>0</v>
      </c>
      <c r="E29" s="49">
        <v>1</v>
      </c>
      <c r="F29" s="49">
        <v>0</v>
      </c>
      <c r="G29" s="49">
        <v>0</v>
      </c>
      <c r="H29" s="49">
        <v>0.99999999999333844</v>
      </c>
      <c r="I29" s="49">
        <v>0</v>
      </c>
      <c r="J29" s="49">
        <v>6.6613381477509392E-12</v>
      </c>
      <c r="K29" s="49">
        <v>0</v>
      </c>
      <c r="L29" s="50">
        <v>0</v>
      </c>
      <c r="M29" s="37">
        <f t="shared" si="0"/>
        <v>1.9999999999999998</v>
      </c>
      <c r="N29" s="38" t="s">
        <v>24</v>
      </c>
      <c r="O29" s="5">
        <v>1</v>
      </c>
    </row>
    <row r="30" spans="1:15" x14ac:dyDescent="0.25">
      <c r="A30" t="s">
        <v>6</v>
      </c>
      <c r="B30" s="48">
        <v>0</v>
      </c>
      <c r="C30" s="49">
        <v>0</v>
      </c>
      <c r="D30" s="49">
        <v>0</v>
      </c>
      <c r="E30" s="49">
        <v>0</v>
      </c>
      <c r="F30" s="49">
        <v>2.7755575615628907E-17</v>
      </c>
      <c r="G30" s="49">
        <v>0</v>
      </c>
      <c r="H30" s="49">
        <v>0</v>
      </c>
      <c r="I30" s="49">
        <v>8.5512476684866112E-12</v>
      </c>
      <c r="J30" s="49">
        <v>1</v>
      </c>
      <c r="K30" s="49">
        <v>0</v>
      </c>
      <c r="L30" s="50">
        <v>0</v>
      </c>
      <c r="M30" s="37">
        <f t="shared" si="0"/>
        <v>1.0000000000085514</v>
      </c>
      <c r="N30" s="38" t="s">
        <v>24</v>
      </c>
      <c r="O30" s="5">
        <v>1</v>
      </c>
    </row>
    <row r="31" spans="1:15" x14ac:dyDescent="0.25">
      <c r="A31" t="s">
        <v>7</v>
      </c>
      <c r="B31" s="48">
        <v>1.1102230246671996E-16</v>
      </c>
      <c r="C31" s="49">
        <v>0</v>
      </c>
      <c r="D31" s="49">
        <v>0</v>
      </c>
      <c r="E31" s="49">
        <v>0</v>
      </c>
      <c r="F31" s="49">
        <v>0</v>
      </c>
      <c r="G31" s="49">
        <v>0</v>
      </c>
      <c r="H31" s="49">
        <v>0.99999999999333855</v>
      </c>
      <c r="I31" s="49">
        <v>0</v>
      </c>
      <c r="J31" s="49">
        <v>6.6613381477509392E-12</v>
      </c>
      <c r="K31" s="49">
        <v>0</v>
      </c>
      <c r="L31" s="50">
        <v>0</v>
      </c>
      <c r="M31" s="37">
        <f t="shared" si="0"/>
        <v>1</v>
      </c>
      <c r="N31" s="38" t="s">
        <v>24</v>
      </c>
      <c r="O31" s="5">
        <v>1</v>
      </c>
    </row>
    <row r="32" spans="1:15" x14ac:dyDescent="0.25">
      <c r="A32" s="3" t="s">
        <v>10</v>
      </c>
      <c r="B32" s="48">
        <v>0</v>
      </c>
      <c r="C32" s="49">
        <v>0</v>
      </c>
      <c r="D32" s="49">
        <v>0</v>
      </c>
      <c r="E32" s="49">
        <v>0</v>
      </c>
      <c r="F32" s="49">
        <v>2.7755575615628907E-17</v>
      </c>
      <c r="G32" s="49">
        <v>0</v>
      </c>
      <c r="H32" s="49">
        <v>0</v>
      </c>
      <c r="I32" s="49">
        <v>8.5512476684866112E-12</v>
      </c>
      <c r="J32" s="49">
        <v>0</v>
      </c>
      <c r="K32" s="49">
        <v>0.99999999999144851</v>
      </c>
      <c r="L32" s="50">
        <v>0</v>
      </c>
      <c r="M32" s="37">
        <f t="shared" si="0"/>
        <v>0.99999999999999978</v>
      </c>
      <c r="N32" s="38" t="s">
        <v>24</v>
      </c>
      <c r="O32" s="5">
        <v>1</v>
      </c>
    </row>
    <row r="33" spans="1:15" ht="13" thickBot="1" x14ac:dyDescent="0.3">
      <c r="A33" s="2" t="s">
        <v>8</v>
      </c>
      <c r="B33" s="51">
        <v>0</v>
      </c>
      <c r="C33" s="52">
        <v>0</v>
      </c>
      <c r="D33" s="52">
        <v>0</v>
      </c>
      <c r="E33" s="52">
        <v>1.9997007649770445E-28</v>
      </c>
      <c r="F33" s="52">
        <v>0</v>
      </c>
      <c r="G33" s="52">
        <v>0</v>
      </c>
      <c r="H33" s="52">
        <v>0</v>
      </c>
      <c r="I33" s="52">
        <v>8.5512476684866112E-12</v>
      </c>
      <c r="J33" s="52">
        <v>0</v>
      </c>
      <c r="K33" s="52">
        <v>0</v>
      </c>
      <c r="L33" s="53">
        <v>1</v>
      </c>
      <c r="M33" s="37">
        <f t="shared" si="0"/>
        <v>1.0000000000085512</v>
      </c>
      <c r="N33" s="38" t="s">
        <v>24</v>
      </c>
      <c r="O33" s="5">
        <v>1</v>
      </c>
    </row>
    <row r="34" spans="1:15" ht="13" thickTop="1" x14ac:dyDescent="0.25">
      <c r="A34" s="2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15"/>
      <c r="N34" s="38"/>
      <c r="O34" s="5"/>
    </row>
    <row r="35" spans="1:15" x14ac:dyDescent="0.25">
      <c r="A35" s="43" t="s">
        <v>27</v>
      </c>
      <c r="B35" s="54">
        <f xml:space="preserve"> SUM(B23:B33)</f>
        <v>4.7646625210053475E-16</v>
      </c>
      <c r="C35" s="54">
        <f t="shared" ref="C35:L35" si="1" xml:space="preserve"> SUM(C23:C33)</f>
        <v>1</v>
      </c>
      <c r="D35" s="54">
        <f t="shared" si="1"/>
        <v>0.99999999999144884</v>
      </c>
      <c r="E35" s="54">
        <f t="shared" si="1"/>
        <v>1</v>
      </c>
      <c r="F35" s="54">
        <f t="shared" si="1"/>
        <v>1.1102230246251563E-16</v>
      </c>
      <c r="G35" s="54">
        <f t="shared" si="1"/>
        <v>1</v>
      </c>
      <c r="H35" s="54">
        <f t="shared" si="1"/>
        <v>3.9999999999733538</v>
      </c>
      <c r="I35" s="54">
        <f t="shared" si="1"/>
        <v>5.1307486010919661E-11</v>
      </c>
      <c r="J35" s="54">
        <f t="shared" si="1"/>
        <v>1.0000000000311966</v>
      </c>
      <c r="K35" s="54">
        <f t="shared" si="1"/>
        <v>1.999999999982897</v>
      </c>
      <c r="L35" s="54">
        <f t="shared" si="1"/>
        <v>1</v>
      </c>
    </row>
    <row r="36" spans="1:15" ht="13" thickBot="1" x14ac:dyDescent="0.3">
      <c r="A36" s="4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</row>
    <row r="37" spans="1:15" ht="13" thickBot="1" x14ac:dyDescent="0.3">
      <c r="A37" s="2" t="s">
        <v>30</v>
      </c>
      <c r="B37" s="56">
        <v>11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15"/>
      <c r="N37" s="38"/>
      <c r="O37" s="5"/>
    </row>
    <row r="38" spans="1:15" x14ac:dyDescent="0.25">
      <c r="A38" s="57" t="s">
        <v>31</v>
      </c>
      <c r="B38" s="54">
        <f t="shared" ref="B38:L38" si="2" xml:space="preserve"> Big_M * B19</f>
        <v>1.2212453271342751E-15</v>
      </c>
      <c r="C38" s="54">
        <f t="shared" si="2"/>
        <v>11</v>
      </c>
      <c r="D38" s="54">
        <f t="shared" si="2"/>
        <v>0</v>
      </c>
      <c r="E38" s="54">
        <f t="shared" si="2"/>
        <v>2.199670841474749E-27</v>
      </c>
      <c r="F38" s="54">
        <f t="shared" si="2"/>
        <v>3.05311331771918E-16</v>
      </c>
      <c r="G38" s="54">
        <f t="shared" si="2"/>
        <v>0</v>
      </c>
      <c r="H38" s="54">
        <f t="shared" si="2"/>
        <v>10.999999999926724</v>
      </c>
      <c r="I38" s="54">
        <f t="shared" si="2"/>
        <v>9.4063724353352727E-11</v>
      </c>
      <c r="J38" s="54">
        <f t="shared" si="2"/>
        <v>7.3274719625260332E-11</v>
      </c>
      <c r="K38" s="54">
        <f t="shared" si="2"/>
        <v>10.999999999905933</v>
      </c>
      <c r="L38" s="54">
        <f t="shared" si="2"/>
        <v>3.0531133177290127E-16</v>
      </c>
    </row>
    <row r="40" spans="1:15" ht="13" x14ac:dyDescent="0.3">
      <c r="A40" s="42" t="s">
        <v>22</v>
      </c>
      <c r="B40" s="43"/>
      <c r="C40" s="43"/>
      <c r="D40" s="43"/>
      <c r="E40" s="43"/>
      <c r="F40" s="43"/>
      <c r="G40" s="43"/>
    </row>
    <row r="41" spans="1:15" ht="13.5" thickBot="1" x14ac:dyDescent="0.35">
      <c r="A41" s="1"/>
      <c r="B41" s="4" t="s">
        <v>21</v>
      </c>
      <c r="C41" s="40" t="s">
        <v>25</v>
      </c>
    </row>
    <row r="42" spans="1:15" x14ac:dyDescent="0.25">
      <c r="A42" s="2" t="s">
        <v>1</v>
      </c>
      <c r="B42" s="18">
        <v>885</v>
      </c>
      <c r="C42" s="15">
        <f t="shared" ref="C42:C52" si="3" xml:space="preserve"> Annual_trips * SUMPRODUCT(B5:L5, B23:L23) / 1000</f>
        <v>188.50499999874427</v>
      </c>
    </row>
    <row r="43" spans="1:15" x14ac:dyDescent="0.25">
      <c r="A43" s="2" t="s">
        <v>2</v>
      </c>
      <c r="B43" s="19">
        <v>760</v>
      </c>
      <c r="C43" s="15">
        <f t="shared" si="3"/>
        <v>1056.4000000023138</v>
      </c>
    </row>
    <row r="44" spans="1:15" x14ac:dyDescent="0.25">
      <c r="A44" t="s">
        <v>3</v>
      </c>
      <c r="B44" s="19">
        <v>1124</v>
      </c>
      <c r="C44" s="15">
        <f t="shared" si="3"/>
        <v>1354.4200000161989</v>
      </c>
    </row>
    <row r="45" spans="1:15" x14ac:dyDescent="0.25">
      <c r="A45" t="s">
        <v>4</v>
      </c>
      <c r="B45" s="19">
        <v>708</v>
      </c>
      <c r="C45" s="15">
        <f t="shared" si="3"/>
        <v>567.10800000021186</v>
      </c>
    </row>
    <row r="46" spans="1:15" x14ac:dyDescent="0.25">
      <c r="A46" t="s">
        <v>9</v>
      </c>
      <c r="B46" s="19">
        <v>1224</v>
      </c>
      <c r="C46" s="15">
        <f t="shared" si="3"/>
        <v>493.27199999994758</v>
      </c>
    </row>
    <row r="47" spans="1:15" x14ac:dyDescent="0.25">
      <c r="A47" t="s">
        <v>5</v>
      </c>
      <c r="B47" s="19">
        <v>1152</v>
      </c>
      <c r="C47" s="15">
        <f t="shared" si="3"/>
        <v>1449.2159999999385</v>
      </c>
    </row>
    <row r="48" spans="1:15" x14ac:dyDescent="0.25">
      <c r="A48" t="s">
        <v>11</v>
      </c>
      <c r="B48" s="19">
        <v>1560</v>
      </c>
      <c r="C48" s="15">
        <f t="shared" si="3"/>
        <v>2776.8000000040111</v>
      </c>
    </row>
    <row r="49" spans="1:3" x14ac:dyDescent="0.25">
      <c r="A49" t="s">
        <v>6</v>
      </c>
      <c r="B49" s="19">
        <v>1222</v>
      </c>
      <c r="C49" s="15">
        <f t="shared" si="3"/>
        <v>2533.2060000000001</v>
      </c>
    </row>
    <row r="50" spans="1:3" x14ac:dyDescent="0.25">
      <c r="A50" t="s">
        <v>7</v>
      </c>
      <c r="B50" s="19">
        <v>856</v>
      </c>
      <c r="C50" s="15">
        <f t="shared" si="3"/>
        <v>330.41599999779908</v>
      </c>
    </row>
    <row r="51" spans="1:3" x14ac:dyDescent="0.25">
      <c r="A51" s="3" t="s">
        <v>10</v>
      </c>
      <c r="B51" s="19">
        <v>1443</v>
      </c>
      <c r="C51" s="15">
        <f t="shared" si="3"/>
        <v>9.8715764491730763E-9</v>
      </c>
    </row>
    <row r="52" spans="1:3" ht="13" thickBot="1" x14ac:dyDescent="0.3">
      <c r="A52" s="2" t="s">
        <v>8</v>
      </c>
      <c r="B52" s="20">
        <v>612</v>
      </c>
      <c r="C52" s="15">
        <f t="shared" si="3"/>
        <v>7.7558448153546595E-9</v>
      </c>
    </row>
    <row r="53" spans="1:3" x14ac:dyDescent="0.25">
      <c r="A53" s="2"/>
    </row>
    <row r="54" spans="1:3" ht="13.5" thickBot="1" x14ac:dyDescent="0.35">
      <c r="A54" s="42" t="s">
        <v>23</v>
      </c>
      <c r="B54" s="43"/>
    </row>
    <row r="55" spans="1:3" ht="13.5" thickTop="1" thickBot="1" x14ac:dyDescent="0.3">
      <c r="A55" t="s">
        <v>17</v>
      </c>
      <c r="B55" s="41">
        <f xml:space="preserve"> SUM(Total_annual_distance)</f>
        <v>10749.343000036792</v>
      </c>
    </row>
    <row r="56" spans="1:3" ht="13" thickTop="1" x14ac:dyDescent="0.25"/>
    <row r="57" spans="1:3" ht="13" x14ac:dyDescent="0.3">
      <c r="A57" s="1"/>
    </row>
  </sheetData>
  <mergeCells count="1">
    <mergeCell ref="A1:B1"/>
  </mergeCells>
  <phoneticPr fontId="5" type="noConversion"/>
  <conditionalFormatting sqref="B19:L19">
    <cfRule type="cellIs" dxfId="3" priority="1" stopIfTrue="1" operator="greaterThan">
      <formula>0.5</formula>
    </cfRule>
  </conditionalFormatting>
  <conditionalFormatting sqref="B23:L33">
    <cfRule type="cellIs" dxfId="2" priority="2" operator="greaterThan">
      <formula>0.5</formula>
    </cfRule>
  </conditionalFormatting>
  <printOptions headings="1" gridLines="1"/>
  <pageMargins left="0.75" right="0.75" top="1" bottom="1" header="0.5" footer="0.5"/>
  <pageSetup scale="5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57"/>
  <sheetViews>
    <sheetView zoomScale="75" workbookViewId="0">
      <selection activeCell="W43" sqref="W43"/>
    </sheetView>
  </sheetViews>
  <sheetFormatPr defaultRowHeight="12.5" x14ac:dyDescent="0.25"/>
  <cols>
    <col min="1" max="1" width="23.08984375" customWidth="1"/>
    <col min="2" max="12" width="13.08984375" customWidth="1"/>
    <col min="13" max="13" width="19.453125" bestFit="1" customWidth="1"/>
    <col min="14" max="14" width="20.6328125" bestFit="1" customWidth="1"/>
  </cols>
  <sheetData>
    <row r="1" spans="1:15" ht="13" x14ac:dyDescent="0.3">
      <c r="A1" s="58" t="s">
        <v>26</v>
      </c>
      <c r="B1" s="58"/>
      <c r="C1" s="43"/>
      <c r="D1" s="43"/>
      <c r="E1" s="43"/>
    </row>
    <row r="3" spans="1:15" ht="13" x14ac:dyDescent="0.3">
      <c r="A3" s="42" t="s">
        <v>0</v>
      </c>
      <c r="B3" s="43"/>
      <c r="N3" s="1"/>
    </row>
    <row r="4" spans="1:15" ht="13" thickBot="1" x14ac:dyDescent="0.3">
      <c r="A4" s="2"/>
      <c r="B4" s="4" t="s">
        <v>1</v>
      </c>
      <c r="C4" s="4" t="s">
        <v>2</v>
      </c>
      <c r="D4" s="4" t="s">
        <v>3</v>
      </c>
      <c r="E4" s="4" t="s">
        <v>4</v>
      </c>
      <c r="F4" s="4" t="s">
        <v>9</v>
      </c>
      <c r="G4" s="4" t="s">
        <v>5</v>
      </c>
      <c r="H4" s="4" t="s">
        <v>11</v>
      </c>
      <c r="I4" s="4" t="s">
        <v>6</v>
      </c>
      <c r="J4" s="4" t="s">
        <v>7</v>
      </c>
      <c r="K4" s="4" t="s">
        <v>10</v>
      </c>
      <c r="L4" s="4" t="s">
        <v>8</v>
      </c>
      <c r="N4" s="17"/>
      <c r="O4" s="16"/>
    </row>
    <row r="5" spans="1:15" x14ac:dyDescent="0.25">
      <c r="A5" s="2" t="s">
        <v>1</v>
      </c>
      <c r="B5" s="6">
        <v>0</v>
      </c>
      <c r="C5" s="7">
        <v>983</v>
      </c>
      <c r="D5" s="7">
        <v>1815</v>
      </c>
      <c r="E5" s="7">
        <v>1991</v>
      </c>
      <c r="F5" s="7">
        <v>3036</v>
      </c>
      <c r="G5" s="7">
        <v>1539</v>
      </c>
      <c r="H5" s="7">
        <v>213</v>
      </c>
      <c r="I5" s="7">
        <v>2664</v>
      </c>
      <c r="J5" s="7">
        <v>792</v>
      </c>
      <c r="K5" s="7">
        <v>2385</v>
      </c>
      <c r="L5" s="8">
        <v>2612</v>
      </c>
      <c r="N5" s="16"/>
      <c r="O5" s="16"/>
    </row>
    <row r="6" spans="1:15" x14ac:dyDescent="0.25">
      <c r="A6" s="2" t="s">
        <v>2</v>
      </c>
      <c r="B6" s="9">
        <v>983</v>
      </c>
      <c r="C6" s="10">
        <v>0</v>
      </c>
      <c r="D6" s="10">
        <v>1205</v>
      </c>
      <c r="E6" s="10">
        <v>1050</v>
      </c>
      <c r="F6" s="10">
        <v>2112</v>
      </c>
      <c r="G6" s="10">
        <v>1390</v>
      </c>
      <c r="H6" s="10">
        <v>840</v>
      </c>
      <c r="I6" s="10">
        <v>1729</v>
      </c>
      <c r="J6" s="10">
        <v>457</v>
      </c>
      <c r="K6" s="10">
        <v>2212</v>
      </c>
      <c r="L6" s="11">
        <v>2052</v>
      </c>
      <c r="N6" s="16"/>
      <c r="O6" s="16"/>
    </row>
    <row r="7" spans="1:15" x14ac:dyDescent="0.25">
      <c r="A7" t="s">
        <v>3</v>
      </c>
      <c r="B7" s="9">
        <v>1815</v>
      </c>
      <c r="C7" s="10">
        <v>1205</v>
      </c>
      <c r="D7" s="10">
        <v>0</v>
      </c>
      <c r="E7" s="10">
        <v>801</v>
      </c>
      <c r="F7" s="10">
        <v>1425</v>
      </c>
      <c r="G7" s="10">
        <v>1332</v>
      </c>
      <c r="H7" s="10">
        <v>1604</v>
      </c>
      <c r="I7" s="10">
        <v>1027</v>
      </c>
      <c r="J7" s="10">
        <v>1237</v>
      </c>
      <c r="K7" s="10">
        <v>1765</v>
      </c>
      <c r="L7" s="11">
        <v>2404</v>
      </c>
      <c r="N7" s="16"/>
      <c r="O7" s="16"/>
    </row>
    <row r="8" spans="1:15" x14ac:dyDescent="0.25">
      <c r="A8" t="s">
        <v>4</v>
      </c>
      <c r="B8" s="9">
        <v>1991</v>
      </c>
      <c r="C8" s="10">
        <v>1050</v>
      </c>
      <c r="D8" s="10">
        <v>801</v>
      </c>
      <c r="E8" s="10">
        <v>0</v>
      </c>
      <c r="F8" s="10">
        <v>1174</v>
      </c>
      <c r="G8" s="10">
        <v>2041</v>
      </c>
      <c r="H8" s="10">
        <v>1780</v>
      </c>
      <c r="I8" s="10">
        <v>836</v>
      </c>
      <c r="J8" s="10">
        <v>1411</v>
      </c>
      <c r="K8" s="10">
        <v>1765</v>
      </c>
      <c r="L8" s="11">
        <v>1373</v>
      </c>
      <c r="N8" s="16"/>
      <c r="O8" s="16"/>
    </row>
    <row r="9" spans="1:15" x14ac:dyDescent="0.25">
      <c r="A9" t="s">
        <v>9</v>
      </c>
      <c r="B9" s="9">
        <v>3036</v>
      </c>
      <c r="C9" s="10">
        <v>2112</v>
      </c>
      <c r="D9" s="10">
        <v>1425</v>
      </c>
      <c r="E9" s="10">
        <v>1174</v>
      </c>
      <c r="F9" s="10">
        <v>0</v>
      </c>
      <c r="G9" s="10">
        <v>2757</v>
      </c>
      <c r="H9" s="10">
        <v>2825</v>
      </c>
      <c r="I9" s="10">
        <v>398</v>
      </c>
      <c r="J9" s="10">
        <v>2456</v>
      </c>
      <c r="K9" s="10">
        <v>403</v>
      </c>
      <c r="L9" s="11">
        <v>1909</v>
      </c>
      <c r="N9" s="16"/>
      <c r="O9" s="16"/>
    </row>
    <row r="10" spans="1:15" x14ac:dyDescent="0.25">
      <c r="A10" t="s">
        <v>5</v>
      </c>
      <c r="B10" s="9">
        <v>1539</v>
      </c>
      <c r="C10" s="10">
        <v>1390</v>
      </c>
      <c r="D10" s="10">
        <v>1332</v>
      </c>
      <c r="E10" s="10">
        <v>2041</v>
      </c>
      <c r="F10" s="10">
        <v>2757</v>
      </c>
      <c r="G10" s="10">
        <v>0</v>
      </c>
      <c r="H10" s="10">
        <v>1258</v>
      </c>
      <c r="I10" s="10">
        <v>2359</v>
      </c>
      <c r="J10" s="10">
        <v>1250</v>
      </c>
      <c r="K10" s="10">
        <v>3097</v>
      </c>
      <c r="L10" s="11">
        <v>3389</v>
      </c>
      <c r="N10" s="16"/>
      <c r="O10" s="16"/>
    </row>
    <row r="11" spans="1:15" x14ac:dyDescent="0.25">
      <c r="A11" t="s">
        <v>11</v>
      </c>
      <c r="B11" s="9">
        <v>213</v>
      </c>
      <c r="C11" s="10">
        <v>840</v>
      </c>
      <c r="D11" s="10">
        <v>1604</v>
      </c>
      <c r="E11" s="10">
        <v>1780</v>
      </c>
      <c r="F11" s="10">
        <v>2825</v>
      </c>
      <c r="G11" s="10">
        <v>1258</v>
      </c>
      <c r="H11" s="10">
        <v>0</v>
      </c>
      <c r="I11" s="10">
        <v>2442</v>
      </c>
      <c r="J11" s="10">
        <v>386</v>
      </c>
      <c r="K11" s="10">
        <v>3036</v>
      </c>
      <c r="L11" s="11">
        <v>2900</v>
      </c>
    </row>
    <row r="12" spans="1:15" x14ac:dyDescent="0.25">
      <c r="A12" t="s">
        <v>6</v>
      </c>
      <c r="B12" s="9">
        <v>2664</v>
      </c>
      <c r="C12" s="10">
        <v>1729</v>
      </c>
      <c r="D12" s="10">
        <v>1027</v>
      </c>
      <c r="E12" s="10">
        <v>836</v>
      </c>
      <c r="F12" s="10">
        <v>398</v>
      </c>
      <c r="G12" s="10">
        <v>2359</v>
      </c>
      <c r="H12" s="10">
        <v>2442</v>
      </c>
      <c r="I12" s="10">
        <v>0</v>
      </c>
      <c r="J12" s="10">
        <v>2073</v>
      </c>
      <c r="K12" s="10">
        <v>800</v>
      </c>
      <c r="L12" s="11">
        <v>1482</v>
      </c>
    </row>
    <row r="13" spans="1:15" x14ac:dyDescent="0.25">
      <c r="A13" t="s">
        <v>7</v>
      </c>
      <c r="B13" s="9">
        <v>792</v>
      </c>
      <c r="C13" s="10">
        <v>457</v>
      </c>
      <c r="D13" s="10">
        <v>1237</v>
      </c>
      <c r="E13" s="10">
        <v>1411</v>
      </c>
      <c r="F13" s="10">
        <v>2456</v>
      </c>
      <c r="G13" s="10">
        <v>1250</v>
      </c>
      <c r="H13" s="10">
        <v>386</v>
      </c>
      <c r="I13" s="10">
        <v>2073</v>
      </c>
      <c r="J13" s="10">
        <v>0</v>
      </c>
      <c r="K13" s="10">
        <v>2653</v>
      </c>
      <c r="L13" s="11">
        <v>2517</v>
      </c>
    </row>
    <row r="14" spans="1:15" x14ac:dyDescent="0.25">
      <c r="A14" s="3" t="s">
        <v>10</v>
      </c>
      <c r="B14" s="9">
        <v>2385</v>
      </c>
      <c r="C14" s="10">
        <v>2212</v>
      </c>
      <c r="D14" s="10">
        <v>1765</v>
      </c>
      <c r="E14" s="10">
        <v>1765</v>
      </c>
      <c r="F14" s="10">
        <v>403</v>
      </c>
      <c r="G14" s="10">
        <v>3097</v>
      </c>
      <c r="H14" s="10">
        <v>3036</v>
      </c>
      <c r="I14" s="10">
        <v>800</v>
      </c>
      <c r="J14" s="10">
        <v>2653</v>
      </c>
      <c r="K14" s="10">
        <v>0</v>
      </c>
      <c r="L14" s="11">
        <v>817</v>
      </c>
    </row>
    <row r="15" spans="1:15" ht="13" thickBot="1" x14ac:dyDescent="0.3">
      <c r="A15" s="2" t="s">
        <v>8</v>
      </c>
      <c r="B15" s="12">
        <v>2612</v>
      </c>
      <c r="C15" s="13">
        <v>2052</v>
      </c>
      <c r="D15" s="13">
        <v>2404</v>
      </c>
      <c r="E15" s="13">
        <v>1373</v>
      </c>
      <c r="F15" s="13">
        <v>1909</v>
      </c>
      <c r="G15" s="13">
        <v>3389</v>
      </c>
      <c r="H15" s="13">
        <v>2900</v>
      </c>
      <c r="I15" s="13">
        <v>1482</v>
      </c>
      <c r="J15" s="13">
        <v>2517</v>
      </c>
      <c r="K15" s="13">
        <v>817</v>
      </c>
      <c r="L15" s="14">
        <v>0</v>
      </c>
    </row>
    <row r="17" spans="1:15" ht="13" x14ac:dyDescent="0.3">
      <c r="A17" s="42" t="s">
        <v>12</v>
      </c>
      <c r="B17" s="43"/>
    </row>
    <row r="18" spans="1:15" ht="13.5" thickBot="1" x14ac:dyDescent="0.35">
      <c r="A18" s="1"/>
      <c r="B18" s="4" t="s">
        <v>1</v>
      </c>
      <c r="C18" s="4" t="s">
        <v>2</v>
      </c>
      <c r="D18" s="4" t="s">
        <v>3</v>
      </c>
      <c r="E18" s="4" t="s">
        <v>4</v>
      </c>
      <c r="F18" s="4" t="s">
        <v>9</v>
      </c>
      <c r="G18" s="4" t="s">
        <v>5</v>
      </c>
      <c r="H18" s="4" t="s">
        <v>11</v>
      </c>
      <c r="I18" s="4" t="s">
        <v>6</v>
      </c>
      <c r="J18" s="4" t="s">
        <v>7</v>
      </c>
      <c r="K18" s="4" t="s">
        <v>10</v>
      </c>
      <c r="L18" s="4" t="s">
        <v>8</v>
      </c>
      <c r="M18" s="4" t="s">
        <v>18</v>
      </c>
      <c r="O18" s="4" t="s">
        <v>19</v>
      </c>
    </row>
    <row r="19" spans="1:15" ht="13.5" thickTop="1" thickBot="1" x14ac:dyDescent="0.3">
      <c r="A19" t="s">
        <v>13</v>
      </c>
      <c r="B19" s="34">
        <v>0</v>
      </c>
      <c r="C19" s="35">
        <v>0</v>
      </c>
      <c r="D19" s="35">
        <v>1</v>
      </c>
      <c r="E19" s="35">
        <v>0</v>
      </c>
      <c r="F19" s="35">
        <v>0</v>
      </c>
      <c r="G19" s="35">
        <v>0</v>
      </c>
      <c r="H19" s="35">
        <v>1</v>
      </c>
      <c r="I19" s="35">
        <v>0</v>
      </c>
      <c r="J19" s="35">
        <v>0</v>
      </c>
      <c r="K19" s="35">
        <v>1</v>
      </c>
      <c r="L19" s="36">
        <v>0</v>
      </c>
      <c r="M19" s="5">
        <f>SUM(Included?)</f>
        <v>3</v>
      </c>
      <c r="N19" s="55" t="s">
        <v>28</v>
      </c>
      <c r="O19" s="24">
        <v>3</v>
      </c>
    </row>
    <row r="20" spans="1:15" ht="13" thickTop="1" x14ac:dyDescent="0.25"/>
    <row r="21" spans="1:15" ht="13" x14ac:dyDescent="0.3">
      <c r="A21" s="42" t="s">
        <v>14</v>
      </c>
      <c r="B21" s="43"/>
      <c r="C21" s="43"/>
      <c r="D21" s="43"/>
      <c r="E21" s="43"/>
      <c r="F21" s="43"/>
    </row>
    <row r="22" spans="1:15" ht="13" thickBot="1" x14ac:dyDescent="0.3">
      <c r="B22" s="4" t="s">
        <v>1</v>
      </c>
      <c r="C22" s="4" t="s">
        <v>2</v>
      </c>
      <c r="D22" s="4" t="s">
        <v>3</v>
      </c>
      <c r="E22" s="4" t="s">
        <v>4</v>
      </c>
      <c r="F22" s="4" t="s">
        <v>9</v>
      </c>
      <c r="G22" s="4" t="s">
        <v>5</v>
      </c>
      <c r="H22" s="4" t="s">
        <v>11</v>
      </c>
      <c r="I22" s="4" t="s">
        <v>6</v>
      </c>
      <c r="J22" s="4" t="s">
        <v>7</v>
      </c>
      <c r="K22" s="4" t="s">
        <v>10</v>
      </c>
      <c r="L22" s="4" t="s">
        <v>8</v>
      </c>
      <c r="M22" s="4" t="s">
        <v>20</v>
      </c>
      <c r="O22" s="4" t="s">
        <v>16</v>
      </c>
    </row>
    <row r="23" spans="1:15" ht="13" thickTop="1" x14ac:dyDescent="0.25">
      <c r="A23" s="2" t="s">
        <v>1</v>
      </c>
      <c r="B23" s="45">
        <v>0</v>
      </c>
      <c r="C23" s="46">
        <v>0</v>
      </c>
      <c r="D23" s="46">
        <v>0</v>
      </c>
      <c r="E23" s="46">
        <v>0</v>
      </c>
      <c r="F23" s="46">
        <v>0</v>
      </c>
      <c r="G23" s="46">
        <v>0</v>
      </c>
      <c r="H23" s="46">
        <v>1</v>
      </c>
      <c r="I23" s="46">
        <v>0</v>
      </c>
      <c r="J23" s="46">
        <v>0</v>
      </c>
      <c r="K23" s="46">
        <v>0</v>
      </c>
      <c r="L23" s="47">
        <v>0</v>
      </c>
      <c r="M23" s="37">
        <f t="shared" ref="M23:M33" si="0">SUM(B23:L23)</f>
        <v>1</v>
      </c>
      <c r="N23" s="38" t="s">
        <v>24</v>
      </c>
      <c r="O23" s="5">
        <v>1</v>
      </c>
    </row>
    <row r="24" spans="1:15" x14ac:dyDescent="0.25">
      <c r="A24" s="2" t="s">
        <v>2</v>
      </c>
      <c r="B24" s="48">
        <v>0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49">
        <v>1</v>
      </c>
      <c r="I24" s="49">
        <v>0</v>
      </c>
      <c r="J24" s="49">
        <v>0</v>
      </c>
      <c r="K24" s="49">
        <v>0</v>
      </c>
      <c r="L24" s="50">
        <v>0</v>
      </c>
      <c r="M24" s="37">
        <f t="shared" si="0"/>
        <v>1</v>
      </c>
      <c r="N24" s="38" t="s">
        <v>24</v>
      </c>
      <c r="O24" s="5">
        <v>1</v>
      </c>
    </row>
    <row r="25" spans="1:15" x14ac:dyDescent="0.25">
      <c r="A25" t="s">
        <v>3</v>
      </c>
      <c r="B25" s="48">
        <v>0</v>
      </c>
      <c r="C25" s="49">
        <v>0</v>
      </c>
      <c r="D25" s="49">
        <v>1</v>
      </c>
      <c r="E25" s="49">
        <v>0</v>
      </c>
      <c r="F25" s="49">
        <v>0</v>
      </c>
      <c r="G25" s="49">
        <v>0</v>
      </c>
      <c r="H25" s="49">
        <v>0</v>
      </c>
      <c r="I25" s="49">
        <v>0</v>
      </c>
      <c r="J25" s="49">
        <v>0</v>
      </c>
      <c r="K25" s="49">
        <v>0</v>
      </c>
      <c r="L25" s="50">
        <v>0</v>
      </c>
      <c r="M25" s="37">
        <f t="shared" si="0"/>
        <v>1</v>
      </c>
      <c r="N25" s="38" t="s">
        <v>24</v>
      </c>
      <c r="O25" s="5">
        <v>1</v>
      </c>
    </row>
    <row r="26" spans="1:15" x14ac:dyDescent="0.25">
      <c r="A26" t="s">
        <v>4</v>
      </c>
      <c r="B26" s="48">
        <v>0</v>
      </c>
      <c r="C26" s="49">
        <v>0</v>
      </c>
      <c r="D26" s="49">
        <v>1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49">
        <v>0</v>
      </c>
      <c r="K26" s="49">
        <v>0</v>
      </c>
      <c r="L26" s="50">
        <v>0</v>
      </c>
      <c r="M26" s="37">
        <f t="shared" si="0"/>
        <v>1</v>
      </c>
      <c r="N26" s="38" t="s">
        <v>24</v>
      </c>
      <c r="O26" s="5">
        <v>1</v>
      </c>
    </row>
    <row r="27" spans="1:15" x14ac:dyDescent="0.25">
      <c r="A27" t="s">
        <v>9</v>
      </c>
      <c r="B27" s="48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1</v>
      </c>
      <c r="L27" s="50">
        <v>0</v>
      </c>
      <c r="M27" s="37">
        <f t="shared" si="0"/>
        <v>1</v>
      </c>
      <c r="N27" s="38" t="s">
        <v>24</v>
      </c>
      <c r="O27" s="5">
        <v>1</v>
      </c>
    </row>
    <row r="28" spans="1:15" x14ac:dyDescent="0.25">
      <c r="A28" t="s">
        <v>5</v>
      </c>
      <c r="B28" s="48">
        <v>0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1</v>
      </c>
      <c r="I28" s="49">
        <v>0</v>
      </c>
      <c r="J28" s="49">
        <v>0</v>
      </c>
      <c r="K28" s="49">
        <v>0</v>
      </c>
      <c r="L28" s="50">
        <v>0</v>
      </c>
      <c r="M28" s="37">
        <f t="shared" si="0"/>
        <v>1</v>
      </c>
      <c r="N28" s="38" t="s">
        <v>24</v>
      </c>
      <c r="O28" s="5">
        <v>1</v>
      </c>
    </row>
    <row r="29" spans="1:15" x14ac:dyDescent="0.25">
      <c r="A29" t="s">
        <v>11</v>
      </c>
      <c r="B29" s="48">
        <v>0</v>
      </c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49">
        <v>1</v>
      </c>
      <c r="I29" s="49">
        <v>0</v>
      </c>
      <c r="J29" s="49">
        <v>0</v>
      </c>
      <c r="K29" s="49">
        <v>0</v>
      </c>
      <c r="L29" s="50">
        <v>0</v>
      </c>
      <c r="M29" s="37">
        <f t="shared" si="0"/>
        <v>1</v>
      </c>
      <c r="N29" s="38" t="s">
        <v>24</v>
      </c>
      <c r="O29" s="5">
        <v>1</v>
      </c>
    </row>
    <row r="30" spans="1:15" x14ac:dyDescent="0.25">
      <c r="A30" t="s">
        <v>6</v>
      </c>
      <c r="B30" s="48">
        <v>0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1</v>
      </c>
      <c r="L30" s="50">
        <v>0</v>
      </c>
      <c r="M30" s="37">
        <f t="shared" si="0"/>
        <v>1</v>
      </c>
      <c r="N30" s="38" t="s">
        <v>24</v>
      </c>
      <c r="O30" s="5">
        <v>1</v>
      </c>
    </row>
    <row r="31" spans="1:15" x14ac:dyDescent="0.25">
      <c r="A31" t="s">
        <v>7</v>
      </c>
      <c r="B31" s="48">
        <v>0</v>
      </c>
      <c r="C31" s="49">
        <v>0</v>
      </c>
      <c r="D31" s="49">
        <v>0</v>
      </c>
      <c r="E31" s="49">
        <v>0</v>
      </c>
      <c r="F31" s="49">
        <v>0</v>
      </c>
      <c r="G31" s="49">
        <v>0</v>
      </c>
      <c r="H31" s="49">
        <v>1</v>
      </c>
      <c r="I31" s="49">
        <v>0</v>
      </c>
      <c r="J31" s="49">
        <v>0</v>
      </c>
      <c r="K31" s="49">
        <v>0</v>
      </c>
      <c r="L31" s="50">
        <v>0</v>
      </c>
      <c r="M31" s="37">
        <f t="shared" si="0"/>
        <v>1</v>
      </c>
      <c r="N31" s="38" t="s">
        <v>24</v>
      </c>
      <c r="O31" s="5">
        <v>1</v>
      </c>
    </row>
    <row r="32" spans="1:15" x14ac:dyDescent="0.25">
      <c r="A32" s="3" t="s">
        <v>10</v>
      </c>
      <c r="B32" s="48">
        <v>0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v>0</v>
      </c>
      <c r="K32" s="49">
        <v>1</v>
      </c>
      <c r="L32" s="50">
        <v>0</v>
      </c>
      <c r="M32" s="37">
        <f t="shared" si="0"/>
        <v>1</v>
      </c>
      <c r="N32" s="38" t="s">
        <v>24</v>
      </c>
      <c r="O32" s="5">
        <v>1</v>
      </c>
    </row>
    <row r="33" spans="1:15" ht="13" thickBot="1" x14ac:dyDescent="0.3">
      <c r="A33" s="2" t="s">
        <v>8</v>
      </c>
      <c r="B33" s="51">
        <v>0</v>
      </c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1</v>
      </c>
      <c r="L33" s="53">
        <v>0</v>
      </c>
      <c r="M33" s="37">
        <f t="shared" si="0"/>
        <v>1</v>
      </c>
      <c r="N33" s="38" t="s">
        <v>24</v>
      </c>
      <c r="O33" s="5">
        <v>1</v>
      </c>
    </row>
    <row r="34" spans="1:15" ht="13" thickTop="1" x14ac:dyDescent="0.25">
      <c r="A34" s="2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15"/>
      <c r="N34" s="38"/>
      <c r="O34" s="5"/>
    </row>
    <row r="35" spans="1:15" x14ac:dyDescent="0.25">
      <c r="A35" s="43" t="s">
        <v>27</v>
      </c>
      <c r="B35" s="54">
        <f xml:space="preserve"> SUM(B23:B33)</f>
        <v>0</v>
      </c>
      <c r="C35" s="54">
        <f t="shared" ref="C35:L35" si="1" xml:space="preserve"> SUM(C23:C33)</f>
        <v>0</v>
      </c>
      <c r="D35" s="54">
        <f t="shared" si="1"/>
        <v>2</v>
      </c>
      <c r="E35" s="54">
        <f t="shared" si="1"/>
        <v>0</v>
      </c>
      <c r="F35" s="54">
        <f t="shared" si="1"/>
        <v>0</v>
      </c>
      <c r="G35" s="54">
        <f t="shared" si="1"/>
        <v>0</v>
      </c>
      <c r="H35" s="54">
        <f t="shared" si="1"/>
        <v>5</v>
      </c>
      <c r="I35" s="54">
        <f t="shared" si="1"/>
        <v>0</v>
      </c>
      <c r="J35" s="54">
        <f t="shared" si="1"/>
        <v>0</v>
      </c>
      <c r="K35" s="54">
        <f t="shared" si="1"/>
        <v>4</v>
      </c>
      <c r="L35" s="54">
        <f t="shared" si="1"/>
        <v>0</v>
      </c>
    </row>
    <row r="36" spans="1:15" ht="13" thickBot="1" x14ac:dyDescent="0.3">
      <c r="A36" s="4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</row>
    <row r="37" spans="1:15" ht="13" thickBot="1" x14ac:dyDescent="0.3">
      <c r="A37" s="2" t="s">
        <v>30</v>
      </c>
      <c r="B37" s="56">
        <v>11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15"/>
      <c r="N37" s="38"/>
      <c r="O37" s="5"/>
    </row>
    <row r="38" spans="1:15" x14ac:dyDescent="0.25">
      <c r="A38" s="57" t="s">
        <v>31</v>
      </c>
      <c r="B38" s="54">
        <f t="shared" ref="B38:L38" si="2" xml:space="preserve"> Big_M * B19</f>
        <v>0</v>
      </c>
      <c r="C38" s="54">
        <f t="shared" si="2"/>
        <v>0</v>
      </c>
      <c r="D38" s="54">
        <f t="shared" si="2"/>
        <v>11</v>
      </c>
      <c r="E38" s="54">
        <f t="shared" si="2"/>
        <v>0</v>
      </c>
      <c r="F38" s="54">
        <f t="shared" si="2"/>
        <v>0</v>
      </c>
      <c r="G38" s="54">
        <f t="shared" si="2"/>
        <v>0</v>
      </c>
      <c r="H38" s="54">
        <f t="shared" si="2"/>
        <v>11</v>
      </c>
      <c r="I38" s="54">
        <f t="shared" si="2"/>
        <v>0</v>
      </c>
      <c r="J38" s="54">
        <f t="shared" si="2"/>
        <v>0</v>
      </c>
      <c r="K38" s="54">
        <f t="shared" si="2"/>
        <v>11</v>
      </c>
      <c r="L38" s="54">
        <f t="shared" si="2"/>
        <v>0</v>
      </c>
    </row>
    <row r="40" spans="1:15" ht="13" x14ac:dyDescent="0.3">
      <c r="A40" s="42" t="s">
        <v>22</v>
      </c>
      <c r="B40" s="43"/>
      <c r="C40" s="43"/>
      <c r="D40" s="43"/>
      <c r="E40" s="43"/>
      <c r="F40" s="43"/>
      <c r="G40" s="43"/>
    </row>
    <row r="41" spans="1:15" ht="13.5" thickBot="1" x14ac:dyDescent="0.35">
      <c r="A41" s="1"/>
      <c r="B41" s="4" t="s">
        <v>21</v>
      </c>
      <c r="C41" s="40" t="s">
        <v>25</v>
      </c>
    </row>
    <row r="42" spans="1:15" x14ac:dyDescent="0.25">
      <c r="A42" s="2" t="s">
        <v>1</v>
      </c>
      <c r="B42" s="18">
        <v>885</v>
      </c>
      <c r="C42" s="15">
        <f t="shared" ref="C42:C52" si="3" xml:space="preserve"> Annual_trips * SUMPRODUCT(B5:L5, B23:L23) / 1000</f>
        <v>188.505</v>
      </c>
    </row>
    <row r="43" spans="1:15" x14ac:dyDescent="0.25">
      <c r="A43" s="2" t="s">
        <v>2</v>
      </c>
      <c r="B43" s="19">
        <v>760</v>
      </c>
      <c r="C43" s="15">
        <f t="shared" si="3"/>
        <v>638.4</v>
      </c>
    </row>
    <row r="44" spans="1:15" x14ac:dyDescent="0.25">
      <c r="A44" t="s">
        <v>3</v>
      </c>
      <c r="B44" s="19">
        <v>1124</v>
      </c>
      <c r="C44" s="15">
        <f t="shared" si="3"/>
        <v>0</v>
      </c>
    </row>
    <row r="45" spans="1:15" x14ac:dyDescent="0.25">
      <c r="A45" t="s">
        <v>4</v>
      </c>
      <c r="B45" s="19">
        <v>708</v>
      </c>
      <c r="C45" s="15">
        <f t="shared" si="3"/>
        <v>567.10799999999995</v>
      </c>
    </row>
    <row r="46" spans="1:15" x14ac:dyDescent="0.25">
      <c r="A46" t="s">
        <v>9</v>
      </c>
      <c r="B46" s="19">
        <v>1224</v>
      </c>
      <c r="C46" s="15">
        <f t="shared" si="3"/>
        <v>493.27199999999999</v>
      </c>
    </row>
    <row r="47" spans="1:15" x14ac:dyDescent="0.25">
      <c r="A47" t="s">
        <v>5</v>
      </c>
      <c r="B47" s="19">
        <v>1152</v>
      </c>
      <c r="C47" s="15">
        <f t="shared" si="3"/>
        <v>1449.2159999999999</v>
      </c>
    </row>
    <row r="48" spans="1:15" x14ac:dyDescent="0.25">
      <c r="A48" t="s">
        <v>11</v>
      </c>
      <c r="B48" s="19">
        <v>1560</v>
      </c>
      <c r="C48" s="15">
        <f t="shared" si="3"/>
        <v>0</v>
      </c>
    </row>
    <row r="49" spans="1:3" x14ac:dyDescent="0.25">
      <c r="A49" t="s">
        <v>6</v>
      </c>
      <c r="B49" s="19">
        <v>1222</v>
      </c>
      <c r="C49" s="15">
        <f t="shared" si="3"/>
        <v>977.6</v>
      </c>
    </row>
    <row r="50" spans="1:3" x14ac:dyDescent="0.25">
      <c r="A50" t="s">
        <v>7</v>
      </c>
      <c r="B50" s="19">
        <v>856</v>
      </c>
      <c r="C50" s="15">
        <f t="shared" si="3"/>
        <v>330.416</v>
      </c>
    </row>
    <row r="51" spans="1:3" x14ac:dyDescent="0.25">
      <c r="A51" s="3" t="s">
        <v>10</v>
      </c>
      <c r="B51" s="19">
        <v>1443</v>
      </c>
      <c r="C51" s="15">
        <f t="shared" si="3"/>
        <v>0</v>
      </c>
    </row>
    <row r="52" spans="1:3" ht="13" thickBot="1" x14ac:dyDescent="0.3">
      <c r="A52" s="2" t="s">
        <v>8</v>
      </c>
      <c r="B52" s="20">
        <v>612</v>
      </c>
      <c r="C52" s="15">
        <f t="shared" si="3"/>
        <v>500.00400000000002</v>
      </c>
    </row>
    <row r="53" spans="1:3" x14ac:dyDescent="0.25">
      <c r="A53" s="2"/>
    </row>
    <row r="54" spans="1:3" ht="13.5" thickBot="1" x14ac:dyDescent="0.35">
      <c r="A54" s="42" t="s">
        <v>23</v>
      </c>
      <c r="B54" s="43"/>
    </row>
    <row r="55" spans="1:3" ht="13.5" thickTop="1" thickBot="1" x14ac:dyDescent="0.3">
      <c r="A55" t="s">
        <v>17</v>
      </c>
      <c r="B55" s="41">
        <f xml:space="preserve"> SUM(Total_annual_distance)</f>
        <v>5144.5209999999997</v>
      </c>
    </row>
    <row r="56" spans="1:3" ht="13" thickTop="1" x14ac:dyDescent="0.25"/>
    <row r="57" spans="1:3" ht="13" x14ac:dyDescent="0.3">
      <c r="A57" s="1"/>
    </row>
  </sheetData>
  <mergeCells count="1">
    <mergeCell ref="A1:B1"/>
  </mergeCells>
  <phoneticPr fontId="5" type="noConversion"/>
  <conditionalFormatting sqref="B19:L19">
    <cfRule type="cellIs" dxfId="1" priority="1" stopIfTrue="1" operator="greaterThan">
      <formula>0.5</formula>
    </cfRule>
  </conditionalFormatting>
  <conditionalFormatting sqref="B23:L33">
    <cfRule type="cellIs" dxfId="0" priority="2" operator="greaterThan">
      <formula>0.5</formula>
    </cfRule>
  </conditionalFormatting>
  <printOptions headings="1" gridLines="1"/>
  <pageMargins left="0.75" right="0.75" top="1" bottom="1" header="0.5" footer="0.5"/>
  <pageSetup scale="5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48</vt:i4>
      </vt:variant>
    </vt:vector>
  </HeadingPairs>
  <TitlesOfParts>
    <vt:vector size="54" baseType="lpstr">
      <vt:lpstr>Exercise</vt:lpstr>
      <vt:lpstr>Data</vt:lpstr>
      <vt:lpstr>Model</vt:lpstr>
      <vt:lpstr>Solution</vt:lpstr>
      <vt:lpstr>Model (Aggregate)</vt:lpstr>
      <vt:lpstr>Solution (Aggregate)</vt:lpstr>
      <vt:lpstr>'Solution (Aggregate)'!Aggregate_assignments</vt:lpstr>
      <vt:lpstr>Aggregate_assignments</vt:lpstr>
      <vt:lpstr>'Model (Aggregate)'!Allowed</vt:lpstr>
      <vt:lpstr>Solution!Allowed</vt:lpstr>
      <vt:lpstr>'Solution (Aggregate)'!Allowed</vt:lpstr>
      <vt:lpstr>Allowed</vt:lpstr>
      <vt:lpstr>'Model (Aggregate)'!Annual_trips</vt:lpstr>
      <vt:lpstr>Solution!Annual_trips</vt:lpstr>
      <vt:lpstr>'Solution (Aggregate)'!Annual_trips</vt:lpstr>
      <vt:lpstr>Annual_trips</vt:lpstr>
      <vt:lpstr>'Model (Aggregate)'!Assignments</vt:lpstr>
      <vt:lpstr>Solution!Assignments</vt:lpstr>
      <vt:lpstr>'Solution (Aggregate)'!Assignments</vt:lpstr>
      <vt:lpstr>Assignments</vt:lpstr>
      <vt:lpstr>'Solution (Aggregate)'!Big_M</vt:lpstr>
      <vt:lpstr>Big_M</vt:lpstr>
      <vt:lpstr>Solution!Copies_included?</vt:lpstr>
      <vt:lpstr>Copies_included?</vt:lpstr>
      <vt:lpstr>'Model (Aggregate)'!Distances_between_cities</vt:lpstr>
      <vt:lpstr>Solution!Distances_between_cities</vt:lpstr>
      <vt:lpstr>'Solution (Aggregate)'!Distances_between_cities</vt:lpstr>
      <vt:lpstr>Distances_between_cities</vt:lpstr>
      <vt:lpstr>'Model (Aggregate)'!Included?</vt:lpstr>
      <vt:lpstr>Solution!Included?</vt:lpstr>
      <vt:lpstr>'Solution (Aggregate)'!Included?</vt:lpstr>
      <vt:lpstr>Included?</vt:lpstr>
      <vt:lpstr>'Model (Aggregate)'!Locations_assigned_to</vt:lpstr>
      <vt:lpstr>Solution!Locations_assigned_to</vt:lpstr>
      <vt:lpstr>'Solution (Aggregate)'!Locations_assigned_to</vt:lpstr>
      <vt:lpstr>Locations_assigned_to</vt:lpstr>
      <vt:lpstr>'Model (Aggregate)'!Required</vt:lpstr>
      <vt:lpstr>Solution!Required</vt:lpstr>
      <vt:lpstr>'Solution (Aggregate)'!Required</vt:lpstr>
      <vt:lpstr>Required</vt:lpstr>
      <vt:lpstr>'Solution (Aggregate)'!Service_capacity</vt:lpstr>
      <vt:lpstr>Service_capacity</vt:lpstr>
      <vt:lpstr>'Model (Aggregate)'!Total_annual_distance</vt:lpstr>
      <vt:lpstr>Solution!Total_annual_distance</vt:lpstr>
      <vt:lpstr>'Solution (Aggregate)'!Total_annual_distance</vt:lpstr>
      <vt:lpstr>Total_annual_distance</vt:lpstr>
      <vt:lpstr>'Model (Aggregate)'!Total_distance</vt:lpstr>
      <vt:lpstr>Solution!Total_distance</vt:lpstr>
      <vt:lpstr>'Solution (Aggregate)'!Total_distance</vt:lpstr>
      <vt:lpstr>Total_distance</vt:lpstr>
      <vt:lpstr>'Model (Aggregate)'!Total_service_centers</vt:lpstr>
      <vt:lpstr>Solution!Total_service_centers</vt:lpstr>
      <vt:lpstr>'Solution (Aggregate)'!Total_service_centers</vt:lpstr>
      <vt:lpstr>Total_service_centers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albright</dc:creator>
  <cp:lastModifiedBy>Lei Zhao</cp:lastModifiedBy>
  <cp:lastPrinted>2002-09-23T21:27:24Z</cp:lastPrinted>
  <dcterms:created xsi:type="dcterms:W3CDTF">2002-09-11T19:53:10Z</dcterms:created>
  <dcterms:modified xsi:type="dcterms:W3CDTF">2025-11-25T16:24:01Z</dcterms:modified>
</cp:coreProperties>
</file>
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24226"/>
  <xr:revisionPtr revIDLastSave="0" documentId="13_ncr:1_{F56560EE-D5BB-4354-9D9D-E6E63E4D8B73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Exercise" sheetId="9" r:id="rId1"/>
    <sheet name="Data" sheetId="1" r:id="rId2"/>
    <sheet name="Model" sheetId="5" r:id="rId3"/>
    <sheet name="Solution" sheetId="6" r:id="rId4"/>
  </sheets>
  <definedNames>
    <definedName name="Batches_produced" localSheetId="3">Solution!$B$12:$C$12</definedName>
    <definedName name="Batches_produced">Model!$B$12:$C$12</definedName>
    <definedName name="Hours_available" localSheetId="3">Solution!$F$7:$F$9</definedName>
    <definedName name="Hours_available">Model!$F$7:$F$9</definedName>
    <definedName name="Hours_used" localSheetId="3">Solution!$D$7:$D$9</definedName>
    <definedName name="Hours_used">Model!$D$7:$D$9</definedName>
    <definedName name="Hours_used_per_batch_produced" localSheetId="3">Solution!$B$7:$C$9</definedName>
    <definedName name="Hours_used_per_batch_produced">Model!$B$7:$C$9</definedName>
    <definedName name="Profit_per_batch" localSheetId="3">Solution!$B$4:$C$4</definedName>
    <definedName name="Profit_per_batch">Model!$B$4:$C$4</definedName>
    <definedName name="solver_adj" localSheetId="2" hidden="1">Model!$B$12:$C$12</definedName>
    <definedName name="solver_adj" localSheetId="3" hidden="1">Solution!$B$12:$C$12</definedName>
    <definedName name="solver_cvg" localSheetId="2" hidden="1">0.0001</definedName>
    <definedName name="solver_cvg" localSheetId="3" hidden="1">0.0001</definedName>
    <definedName name="solver_drv" localSheetId="2" hidden="1">1</definedName>
    <definedName name="solver_drv" localSheetId="3" hidden="1">1</definedName>
    <definedName name="solver_eng" localSheetId="0" hidden="1">1</definedName>
    <definedName name="solver_eng" localSheetId="2" hidden="1">2</definedName>
    <definedName name="solver_eng" localSheetId="3" hidden="1">2</definedName>
    <definedName name="solver_est" localSheetId="2" hidden="1">1</definedName>
    <definedName name="solver_est" localSheetId="3" hidden="1">1</definedName>
    <definedName name="solver_itr" localSheetId="2" hidden="1">100</definedName>
    <definedName name="solver_itr" localSheetId="3" hidden="1">100</definedName>
    <definedName name="solver_lhs1" localSheetId="2" hidden="1">Model!$B$12:$C$12</definedName>
    <definedName name="solver_lhs1" localSheetId="3" hidden="1">Solution!$B$12:$C$12</definedName>
    <definedName name="solver_lhs2" localSheetId="2" hidden="1">Model!$D$7:$D$9</definedName>
    <definedName name="solver_lhs2" localSheetId="3" hidden="1">Solution!$D$7:$D$9</definedName>
    <definedName name="solver_lin" localSheetId="2" hidden="1">2</definedName>
    <definedName name="solver_lin" localSheetId="3" hidden="1">2</definedName>
    <definedName name="solver_mip" localSheetId="2" hidden="1">2147483647</definedName>
    <definedName name="solver_mip" localSheetId="3" hidden="1">2147483647</definedName>
    <definedName name="solver_mni" localSheetId="2" hidden="1">30</definedName>
    <definedName name="solver_mni" localSheetId="3" hidden="1">30</definedName>
    <definedName name="solver_mrt" localSheetId="2" hidden="1">0.075</definedName>
    <definedName name="solver_mrt" localSheetId="3" hidden="1">0.075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2" hidden="1">1</definedName>
    <definedName name="solver_neg" localSheetId="3" hidden="1">1</definedName>
    <definedName name="solver_nod" localSheetId="2" hidden="1">2147483647</definedName>
    <definedName name="solver_nod" localSheetId="3" hidden="1">2147483647</definedName>
    <definedName name="solver_num" localSheetId="0" hidden="1">0</definedName>
    <definedName name="solver_num" localSheetId="2" hidden="1">2</definedName>
    <definedName name="solver_num" localSheetId="3" hidden="1">2</definedName>
    <definedName name="solver_nwt" localSheetId="2" hidden="1">1</definedName>
    <definedName name="solver_nwt" localSheetId="3" hidden="1">1</definedName>
    <definedName name="solver_opt" localSheetId="0" hidden="1">Exercise!$J$25</definedName>
    <definedName name="solver_opt" localSheetId="2" hidden="1">Model!$F$12</definedName>
    <definedName name="solver_opt" localSheetId="3" hidden="1">Solution!$F$12</definedName>
    <definedName name="solver_pre" localSheetId="2" hidden="1">0.000001</definedName>
    <definedName name="solver_pre" localSheetId="3" hidden="1">0.000001</definedName>
    <definedName name="solver_rbv" localSheetId="2" hidden="1">1</definedName>
    <definedName name="solver_rbv" localSheetId="3" hidden="1">1</definedName>
    <definedName name="solver_rel1" localSheetId="2" hidden="1">4</definedName>
    <definedName name="solver_rel1" localSheetId="3" hidden="1">4</definedName>
    <definedName name="solver_rel2" localSheetId="2" hidden="1">1</definedName>
    <definedName name="solver_rel2" localSheetId="3" hidden="1">1</definedName>
    <definedName name="solver_rhs1" localSheetId="2" hidden="1">"integer"</definedName>
    <definedName name="solver_rhs1" localSheetId="3" hidden="1">"integer"</definedName>
    <definedName name="solver_rhs2" localSheetId="2" hidden="1">Hours_available</definedName>
    <definedName name="solver_rhs2" localSheetId="3" hidden="1">Solution!$F$7:$F$9</definedName>
    <definedName name="solver_rlx" localSheetId="2" hidden="1">2</definedName>
    <definedName name="solver_rlx" localSheetId="3" hidden="1">2</definedName>
    <definedName name="solver_rsd" localSheetId="2" hidden="1">0</definedName>
    <definedName name="solver_rsd" localSheetId="3" hidden="1">0</definedName>
    <definedName name="solver_scl" localSheetId="2" hidden="1">2</definedName>
    <definedName name="solver_scl" localSheetId="3" hidden="1">2</definedName>
    <definedName name="solver_sho" localSheetId="2" hidden="1">2</definedName>
    <definedName name="solver_sho" localSheetId="3" hidden="1">2</definedName>
    <definedName name="solver_ssz" localSheetId="2" hidden="1">100</definedName>
    <definedName name="solver_ssz" localSheetId="3" hidden="1">100</definedName>
    <definedName name="solver_tim" localSheetId="2" hidden="1">100</definedName>
    <definedName name="solver_tim" localSheetId="3" hidden="1">100</definedName>
    <definedName name="solver_tol" localSheetId="2" hidden="1">0.05</definedName>
    <definedName name="solver_tol" localSheetId="3" hidden="1">0.05</definedName>
    <definedName name="solver_typ" localSheetId="0" hidden="1">1</definedName>
    <definedName name="solver_typ" localSheetId="2" hidden="1">1</definedName>
    <definedName name="solver_typ" localSheetId="3" hidden="1">1</definedName>
    <definedName name="solver_val" localSheetId="0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2" hidden="1">3</definedName>
    <definedName name="solver_ver" localSheetId="3" hidden="1">3</definedName>
    <definedName name="Total_profit" localSheetId="3">Solution!$F$12</definedName>
    <definedName name="Total_profit">Model!$F$12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6" l="1"/>
  <c r="D9" i="6"/>
  <c r="D8" i="6"/>
  <c r="D7" i="6"/>
  <c r="F12" i="5"/>
  <c r="D9" i="5"/>
  <c r="D8" i="5"/>
  <c r="D7" i="5"/>
</calcChain>
</file>

<file path=xl/sharedStrings.xml><?xml version="1.0" encoding="utf-8"?>
<sst xmlns="http://schemas.openxmlformats.org/spreadsheetml/2006/main" count="92" uniqueCount="33">
  <si>
    <t>Wyndor Glass Co. Product-Mix Problem</t>
    <phoneticPr fontId="1" type="noConversion"/>
  </si>
  <si>
    <t>Doors</t>
    <phoneticPr fontId="1" type="noConversion"/>
  </si>
  <si>
    <t>Windows</t>
    <phoneticPr fontId="1" type="noConversion"/>
  </si>
  <si>
    <t>Hours used per batch produced</t>
    <phoneticPr fontId="1" type="noConversion"/>
  </si>
  <si>
    <t>Plant 1</t>
    <phoneticPr fontId="1" type="noConversion"/>
  </si>
  <si>
    <t>Plant 2</t>
    <phoneticPr fontId="1" type="noConversion"/>
  </si>
  <si>
    <t>Plant 3</t>
    <phoneticPr fontId="1" type="noConversion"/>
  </si>
  <si>
    <t>Hours</t>
    <phoneticPr fontId="1" type="noConversion"/>
  </si>
  <si>
    <t>Profit per batch</t>
    <phoneticPr fontId="1" type="noConversion"/>
  </si>
  <si>
    <t>available</t>
    <phoneticPr fontId="1" type="noConversion"/>
  </si>
  <si>
    <t>used</t>
    <phoneticPr fontId="1" type="noConversion"/>
  </si>
  <si>
    <t>Batches produced</t>
    <phoneticPr fontId="1" type="noConversion"/>
  </si>
  <si>
    <t>Total profit</t>
    <phoneticPr fontId="1" type="noConversion"/>
  </si>
  <si>
    <t>Hours_available</t>
  </si>
  <si>
    <t>Hours_used</t>
  </si>
  <si>
    <t>Hours_used_per_batch_produced</t>
  </si>
  <si>
    <t>Profit_per_batch</t>
  </si>
  <si>
    <t>Total_profit</t>
  </si>
  <si>
    <t>=Model!$B$12:$C$12</t>
  </si>
  <si>
    <t>Batches_produced</t>
  </si>
  <si>
    <t>=Model!$F$7:$F$9</t>
  </si>
  <si>
    <t>=Model!$D$7:$D$9</t>
  </si>
  <si>
    <t>=Model!$B$7:$C$9</t>
  </si>
  <si>
    <t>=Model!$B$4:$C$4</t>
  </si>
  <si>
    <t>=Model!$F$12</t>
  </si>
  <si>
    <t>Range names</t>
    <phoneticPr fontId="1" type="noConversion"/>
  </si>
  <si>
    <t>&lt;=</t>
    <phoneticPr fontId="1" type="noConversion"/>
  </si>
  <si>
    <t>=Solution!$B$12:$C$12</t>
  </si>
  <si>
    <t>=Solution!$F$7:$F$9</t>
  </si>
  <si>
    <t>=Solution!$D$7:$D$9</t>
  </si>
  <si>
    <t>=Solution!$B$7:$C$9</t>
  </si>
  <si>
    <t>=Solution!$B$4:$C$4</t>
  </si>
  <si>
    <t>=Solution!$F$12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</si>
</sst>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4" formatCode="\$#,##0_);[Red]\(\$#,##0\)"/>
    <numFmt numFmtId="176" formatCode="\$#,##0;\-\$#,##0"/>
  </numFmts>
  <fonts count="8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rgb="FF0000CC"/>
      </left>
      <right/>
      <top style="medium">
        <color rgb="FF0000CC"/>
      </top>
      <bottom style="medium">
        <color rgb="FF0000CC"/>
      </bottom>
      <diagonal/>
    </border>
    <border>
      <left/>
      <right style="medium">
        <color rgb="FF0000CC"/>
      </right>
      <top style="medium">
        <color rgb="FF0000CC"/>
      </top>
      <bottom style="medium">
        <color rgb="FF0000CC"/>
      </bottom>
      <diagonal/>
    </border>
    <border>
      <left style="medium">
        <color rgb="FF0000CC"/>
      </left>
      <right/>
      <top style="medium">
        <color rgb="FF0000CC"/>
      </top>
      <bottom/>
      <diagonal/>
    </border>
    <border>
      <left/>
      <right style="medium">
        <color rgb="FF0000CC"/>
      </right>
      <top style="medium">
        <color rgb="FF0000CC"/>
      </top>
      <bottom/>
      <diagonal/>
    </border>
    <border>
      <left style="medium">
        <color rgb="FF0000CC"/>
      </left>
      <right style="medium">
        <color rgb="FF0000CC"/>
      </right>
      <top style="medium">
        <color rgb="FF0000CC"/>
      </top>
      <bottom/>
      <diagonal/>
    </border>
    <border>
      <left style="medium">
        <color rgb="FF0000CC"/>
      </left>
      <right/>
      <top/>
      <bottom/>
      <diagonal/>
    </border>
    <border>
      <left/>
      <right style="medium">
        <color rgb="FF0000CC"/>
      </right>
      <top/>
      <bottom/>
      <diagonal/>
    </border>
    <border>
      <left style="medium">
        <color rgb="FF0000CC"/>
      </left>
      <right style="medium">
        <color rgb="FF0000CC"/>
      </right>
      <top/>
      <bottom/>
      <diagonal/>
    </border>
    <border>
      <left style="medium">
        <color rgb="FF0000CC"/>
      </left>
      <right/>
      <top/>
      <bottom style="medium">
        <color rgb="FF0000CC"/>
      </bottom>
      <diagonal/>
    </border>
    <border>
      <left/>
      <right style="medium">
        <color rgb="FF0000CC"/>
      </right>
      <top/>
      <bottom style="medium">
        <color rgb="FF0000CC"/>
      </bottom>
      <diagonal/>
    </border>
    <border>
      <left style="medium">
        <color rgb="FF0000CC"/>
      </left>
      <right style="medium">
        <color rgb="FF0000CC"/>
      </right>
      <top/>
      <bottom style="medium">
        <color rgb="FF0000CC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 style="double">
        <color rgb="FF00B05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0" xfId="0" applyFont="1"/>
    <xf numFmtId="0" fontId="4" fillId="0" borderId="0" xfId="0" applyNumberFormat="1" applyFont="1"/>
    <xf numFmtId="0" fontId="4" fillId="0" borderId="0" xfId="0" applyFont="1" applyFill="1" applyAlignment="1">
      <alignment horizontal="center"/>
    </xf>
    <xf numFmtId="24" fontId="4" fillId="2" borderId="1" xfId="0" applyNumberFormat="1" applyFont="1" applyFill="1" applyBorder="1" applyAlignment="1">
      <alignment horizontal="center"/>
    </xf>
    <xf numFmtId="24" fontId="4" fillId="2" borderId="2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0" borderId="0" xfId="0" applyFont="1" applyFill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176" fontId="4" fillId="0" borderId="14" xfId="0" applyNumberFormat="1" applyFont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 applyFill="1" applyAlignment="1"/>
    <xf numFmtId="0" fontId="4" fillId="0" borderId="0" xfId="0" applyFont="1" applyBorder="1"/>
    <xf numFmtId="0" fontId="4" fillId="0" borderId="0" xfId="0" applyFont="1" applyFill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C8" sqref="C8"/>
    </sheetView>
  </sheetViews>
  <sheetFormatPr defaultColWidth="9" defaultRowHeight="12.5" x14ac:dyDescent="0.25"/>
  <cols>
    <col min="1" max="1" width="15.6328125" style="1" customWidth="1"/>
    <col min="2" max="3" width="13.453125" style="1" customWidth="1"/>
    <col min="4" max="5" width="5.81640625" style="1" customWidth="1"/>
    <col min="6" max="6" width="10.453125" style="1" bestFit="1" customWidth="1"/>
    <col min="7" max="16384" width="9" style="1"/>
  </cols>
  <sheetData>
    <row r="1" spans="1:6" ht="13" x14ac:dyDescent="0.3">
      <c r="A1" s="28" t="s">
        <v>0</v>
      </c>
      <c r="B1" s="28"/>
      <c r="C1" s="28"/>
    </row>
    <row r="3" spans="1:6" ht="13" thickBot="1" x14ac:dyDescent="0.3">
      <c r="B3" s="24" t="s">
        <v>1</v>
      </c>
      <c r="C3" s="24" t="s">
        <v>2</v>
      </c>
    </row>
    <row r="4" spans="1:6" ht="13" thickBot="1" x14ac:dyDescent="0.3">
      <c r="A4" s="24" t="s">
        <v>8</v>
      </c>
      <c r="B4" s="4">
        <v>3000</v>
      </c>
      <c r="C4" s="5">
        <v>5000</v>
      </c>
    </row>
    <row r="5" spans="1:6" x14ac:dyDescent="0.25">
      <c r="A5" s="6"/>
      <c r="B5" s="6"/>
      <c r="C5" s="6"/>
      <c r="F5" s="24" t="s">
        <v>7</v>
      </c>
    </row>
    <row r="6" spans="1:6" ht="13" thickBot="1" x14ac:dyDescent="0.3">
      <c r="A6" s="6"/>
      <c r="B6" s="29" t="s">
        <v>3</v>
      </c>
      <c r="C6" s="29"/>
      <c r="F6" s="24" t="s">
        <v>9</v>
      </c>
    </row>
    <row r="7" spans="1:6" x14ac:dyDescent="0.25">
      <c r="A7" s="24" t="s">
        <v>4</v>
      </c>
      <c r="B7" s="8">
        <v>1</v>
      </c>
      <c r="C7" s="9">
        <v>0</v>
      </c>
      <c r="D7" s="6"/>
      <c r="E7" s="6"/>
      <c r="F7" s="10">
        <v>4</v>
      </c>
    </row>
    <row r="8" spans="1:6" x14ac:dyDescent="0.25">
      <c r="A8" s="24" t="s">
        <v>5</v>
      </c>
      <c r="B8" s="11">
        <v>0</v>
      </c>
      <c r="C8" s="25">
        <v>2.5</v>
      </c>
      <c r="D8" s="6"/>
      <c r="E8" s="6"/>
      <c r="F8" s="12">
        <v>12</v>
      </c>
    </row>
    <row r="9" spans="1:6" ht="13" thickBot="1" x14ac:dyDescent="0.3">
      <c r="A9" s="24" t="s">
        <v>6</v>
      </c>
      <c r="B9" s="13">
        <v>3</v>
      </c>
      <c r="C9" s="14">
        <v>2</v>
      </c>
      <c r="D9" s="6"/>
      <c r="E9" s="6"/>
      <c r="F9" s="15">
        <v>18</v>
      </c>
    </row>
    <row r="11" spans="1:6" ht="13" thickBot="1" x14ac:dyDescent="0.3">
      <c r="B11" s="24" t="s">
        <v>1</v>
      </c>
      <c r="C11" s="24" t="s">
        <v>2</v>
      </c>
      <c r="F11" s="24" t="s">
        <v>12</v>
      </c>
    </row>
    <row r="12" spans="1:6" ht="13.5" thickTop="1" thickBot="1" x14ac:dyDescent="0.3">
      <c r="A12" s="24" t="s">
        <v>11</v>
      </c>
      <c r="B12" s="17"/>
      <c r="C12" s="18"/>
      <c r="F12" s="19"/>
    </row>
    <row r="18" spans="1:1" x14ac:dyDescent="0.25">
      <c r="A18" s="23"/>
    </row>
  </sheetData>
  <mergeCells count="2">
    <mergeCell ref="A1:C1"/>
    <mergeCell ref="B6:C6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>
      <selection activeCell="A3" sqref="A3:F12"/>
    </sheetView>
  </sheetViews>
  <sheetFormatPr defaultColWidth="9" defaultRowHeight="12.5" x14ac:dyDescent="0.25"/>
  <cols>
    <col min="1" max="1" width="15.6328125" style="1" customWidth="1"/>
    <col min="2" max="3" width="13.453125" style="1" customWidth="1"/>
    <col min="4" max="5" width="5.81640625" style="1" customWidth="1"/>
    <col min="6" max="6" width="10.453125" style="1" bestFit="1" customWidth="1"/>
    <col min="7" max="16384" width="9" style="1"/>
  </cols>
  <sheetData>
    <row r="1" spans="1:6" ht="13" x14ac:dyDescent="0.3">
      <c r="A1" s="28" t="s">
        <v>0</v>
      </c>
      <c r="B1" s="28"/>
      <c r="C1" s="28"/>
    </row>
    <row r="3" spans="1:6" ht="13" thickBot="1" x14ac:dyDescent="0.3">
      <c r="B3" s="3" t="s">
        <v>1</v>
      </c>
      <c r="C3" s="3" t="s">
        <v>2</v>
      </c>
    </row>
    <row r="4" spans="1:6" ht="13" thickBot="1" x14ac:dyDescent="0.3">
      <c r="A4" s="3" t="s">
        <v>8</v>
      </c>
      <c r="B4" s="4">
        <v>3000</v>
      </c>
      <c r="C4" s="5">
        <v>5000</v>
      </c>
    </row>
    <row r="5" spans="1:6" x14ac:dyDescent="0.25">
      <c r="A5" s="6"/>
      <c r="B5" s="6"/>
      <c r="C5" s="6"/>
      <c r="F5" s="3" t="s">
        <v>7</v>
      </c>
    </row>
    <row r="6" spans="1:6" ht="13" thickBot="1" x14ac:dyDescent="0.3">
      <c r="A6" s="6"/>
      <c r="B6" s="29" t="s">
        <v>3</v>
      </c>
      <c r="C6" s="29"/>
      <c r="F6" s="3" t="s">
        <v>9</v>
      </c>
    </row>
    <row r="7" spans="1:6" x14ac:dyDescent="0.25">
      <c r="A7" s="3" t="s">
        <v>4</v>
      </c>
      <c r="B7" s="8">
        <v>1</v>
      </c>
      <c r="C7" s="9">
        <v>0</v>
      </c>
      <c r="D7" s="6"/>
      <c r="E7" s="6"/>
      <c r="F7" s="10">
        <v>4</v>
      </c>
    </row>
    <row r="8" spans="1:6" x14ac:dyDescent="0.25">
      <c r="A8" s="3" t="s">
        <v>5</v>
      </c>
      <c r="B8" s="11">
        <v>0</v>
      </c>
      <c r="C8" s="25">
        <v>2.5</v>
      </c>
      <c r="D8" s="6"/>
      <c r="E8" s="6"/>
      <c r="F8" s="12">
        <v>12</v>
      </c>
    </row>
    <row r="9" spans="1:6" ht="13" thickBot="1" x14ac:dyDescent="0.3">
      <c r="A9" s="3" t="s">
        <v>6</v>
      </c>
      <c r="B9" s="13">
        <v>3</v>
      </c>
      <c r="C9" s="14">
        <v>2</v>
      </c>
      <c r="D9" s="6"/>
      <c r="E9" s="6"/>
      <c r="F9" s="15">
        <v>18</v>
      </c>
    </row>
    <row r="11" spans="1:6" ht="13" thickBot="1" x14ac:dyDescent="0.3">
      <c r="B11" s="24" t="s">
        <v>1</v>
      </c>
      <c r="C11" s="24" t="s">
        <v>2</v>
      </c>
      <c r="F11" s="24" t="s">
        <v>12</v>
      </c>
    </row>
    <row r="12" spans="1:6" ht="13.5" thickTop="1" thickBot="1" x14ac:dyDescent="0.3">
      <c r="A12" s="24" t="s">
        <v>11</v>
      </c>
      <c r="B12" s="17"/>
      <c r="C12" s="18"/>
      <c r="F12" s="19"/>
    </row>
    <row r="18" spans="1:1" x14ac:dyDescent="0.25">
      <c r="A18" s="23"/>
    </row>
  </sheetData>
  <mergeCells count="2">
    <mergeCell ref="B6:C6"/>
    <mergeCell ref="A1:C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2"/>
  <sheetViews>
    <sheetView tabSelected="1" workbookViewId="0">
      <selection activeCell="H37" sqref="H37"/>
    </sheetView>
  </sheetViews>
  <sheetFormatPr defaultColWidth="9" defaultRowHeight="15.5" x14ac:dyDescent="0.35"/>
  <cols>
    <col min="1" max="1" width="15.08984375" style="21" bestFit="1" customWidth="1"/>
    <col min="2" max="3" width="13.81640625" style="21" customWidth="1"/>
    <col min="4" max="5" width="5.81640625" style="21" customWidth="1"/>
    <col min="6" max="6" width="9" style="21" bestFit="1" customWidth="1"/>
    <col min="7" max="7" width="5.81640625" style="21" customWidth="1"/>
    <col min="8" max="8" width="27.453125" style="21" bestFit="1" customWidth="1"/>
    <col min="9" max="9" width="17.81640625" style="21" bestFit="1" customWidth="1"/>
    <col min="10" max="16384" width="9" style="21"/>
  </cols>
  <sheetData>
    <row r="1" spans="1:9" x14ac:dyDescent="0.35">
      <c r="A1" s="28" t="s">
        <v>0</v>
      </c>
      <c r="B1" s="28"/>
      <c r="C1" s="28"/>
      <c r="D1" s="22"/>
      <c r="E1" s="1"/>
      <c r="F1" s="1"/>
      <c r="G1" s="1"/>
      <c r="H1" s="30" t="s">
        <v>25</v>
      </c>
      <c r="I1" s="30"/>
    </row>
    <row r="2" spans="1:9" x14ac:dyDescent="0.35">
      <c r="A2" s="1"/>
      <c r="B2" s="1"/>
      <c r="C2" s="1"/>
      <c r="D2" s="1"/>
      <c r="E2" s="1"/>
      <c r="F2" s="1"/>
      <c r="G2" s="1"/>
      <c r="H2" s="2" t="s">
        <v>19</v>
      </c>
      <c r="I2" s="2" t="s">
        <v>18</v>
      </c>
    </row>
    <row r="3" spans="1:9" ht="16" thickBot="1" x14ac:dyDescent="0.4">
      <c r="A3" s="1"/>
      <c r="B3" s="7" t="s">
        <v>1</v>
      </c>
      <c r="C3" s="7" t="s">
        <v>2</v>
      </c>
      <c r="D3" s="1"/>
      <c r="E3" s="1"/>
      <c r="F3" s="1"/>
      <c r="G3" s="1"/>
      <c r="H3" s="2" t="s">
        <v>13</v>
      </c>
      <c r="I3" s="2" t="s">
        <v>20</v>
      </c>
    </row>
    <row r="4" spans="1:9" ht="16" thickBot="1" x14ac:dyDescent="0.4">
      <c r="A4" s="7" t="s">
        <v>8</v>
      </c>
      <c r="B4" s="4">
        <v>3000</v>
      </c>
      <c r="C4" s="5">
        <v>5000</v>
      </c>
      <c r="D4" s="1"/>
      <c r="E4" s="1"/>
      <c r="F4" s="1"/>
      <c r="G4" s="1"/>
      <c r="H4" s="2" t="s">
        <v>14</v>
      </c>
      <c r="I4" s="2" t="s">
        <v>21</v>
      </c>
    </row>
    <row r="5" spans="1:9" x14ac:dyDescent="0.35">
      <c r="A5" s="6"/>
      <c r="B5" s="6"/>
      <c r="C5" s="6"/>
      <c r="D5" s="7" t="s">
        <v>7</v>
      </c>
      <c r="E5" s="1"/>
      <c r="F5" s="7" t="s">
        <v>7</v>
      </c>
      <c r="G5" s="1"/>
      <c r="H5" s="2" t="s">
        <v>15</v>
      </c>
      <c r="I5" s="2" t="s">
        <v>22</v>
      </c>
    </row>
    <row r="6" spans="1:9" ht="16" thickBot="1" x14ac:dyDescent="0.4">
      <c r="A6" s="6"/>
      <c r="B6" s="29" t="s">
        <v>3</v>
      </c>
      <c r="C6" s="29"/>
      <c r="D6" s="7" t="s">
        <v>10</v>
      </c>
      <c r="E6" s="1"/>
      <c r="F6" s="7" t="s">
        <v>9</v>
      </c>
      <c r="G6" s="1"/>
      <c r="H6" s="2" t="s">
        <v>16</v>
      </c>
      <c r="I6" s="2" t="s">
        <v>23</v>
      </c>
    </row>
    <row r="7" spans="1:9" x14ac:dyDescent="0.35">
      <c r="A7" s="7" t="s">
        <v>4</v>
      </c>
      <c r="B7" s="8">
        <v>1</v>
      </c>
      <c r="C7" s="9">
        <v>0</v>
      </c>
      <c r="D7" s="6">
        <f>B7*B$12 + C7*C$12</f>
        <v>1</v>
      </c>
      <c r="E7" s="6" t="s">
        <v>26</v>
      </c>
      <c r="F7" s="10">
        <v>4</v>
      </c>
      <c r="G7" s="1"/>
      <c r="H7" s="2" t="s">
        <v>17</v>
      </c>
      <c r="I7" s="2" t="s">
        <v>24</v>
      </c>
    </row>
    <row r="8" spans="1:9" x14ac:dyDescent="0.35">
      <c r="A8" s="7" t="s">
        <v>5</v>
      </c>
      <c r="B8" s="11">
        <v>0</v>
      </c>
      <c r="C8" s="25">
        <v>2.5</v>
      </c>
      <c r="D8" s="6">
        <f>B8*B$12 + C8*C$12</f>
        <v>2.5</v>
      </c>
      <c r="E8" s="6" t="s">
        <v>26</v>
      </c>
      <c r="F8" s="12">
        <v>12</v>
      </c>
      <c r="G8" s="1"/>
      <c r="H8" s="1"/>
      <c r="I8" s="1"/>
    </row>
    <row r="9" spans="1:9" ht="16" thickBot="1" x14ac:dyDescent="0.4">
      <c r="A9" s="7" t="s">
        <v>6</v>
      </c>
      <c r="B9" s="13">
        <v>3</v>
      </c>
      <c r="C9" s="14">
        <v>2</v>
      </c>
      <c r="D9" s="6">
        <f>B9*B$12 + C9*C$12</f>
        <v>5</v>
      </c>
      <c r="E9" s="6" t="s">
        <v>26</v>
      </c>
      <c r="F9" s="15">
        <v>18</v>
      </c>
      <c r="G9" s="1"/>
      <c r="H9" s="1"/>
      <c r="I9" s="1"/>
    </row>
    <row r="10" spans="1:9" x14ac:dyDescent="0.35">
      <c r="A10" s="1"/>
      <c r="B10" s="16"/>
      <c r="C10" s="16"/>
      <c r="D10" s="1"/>
      <c r="E10" s="1"/>
      <c r="F10" s="1"/>
      <c r="G10" s="1"/>
      <c r="H10" s="1"/>
      <c r="I10" s="1"/>
    </row>
    <row r="11" spans="1:9" ht="16" thickBot="1" x14ac:dyDescent="0.4">
      <c r="A11" s="1"/>
      <c r="B11" s="7" t="s">
        <v>1</v>
      </c>
      <c r="C11" s="7" t="s">
        <v>2</v>
      </c>
      <c r="D11" s="1"/>
      <c r="E11" s="1"/>
      <c r="F11" s="7" t="s">
        <v>12</v>
      </c>
      <c r="G11" s="1"/>
      <c r="H11" s="1"/>
      <c r="I11" s="1"/>
    </row>
    <row r="12" spans="1:9" ht="16.5" thickTop="1" thickBot="1" x14ac:dyDescent="0.4">
      <c r="A12" s="7" t="s">
        <v>11</v>
      </c>
      <c r="B12" s="17">
        <v>1</v>
      </c>
      <c r="C12" s="18">
        <v>1</v>
      </c>
      <c r="D12" s="1"/>
      <c r="E12" s="1"/>
      <c r="F12" s="19">
        <f>SUMPRODUCT(Profit_per_batch, Batches_produced)</f>
        <v>8000</v>
      </c>
      <c r="G12" s="1"/>
      <c r="H12" s="1"/>
      <c r="I12" s="1"/>
    </row>
  </sheetData>
  <mergeCells count="3">
    <mergeCell ref="B6:C6"/>
    <mergeCell ref="H1:I1"/>
    <mergeCell ref="A1:C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2"/>
  <sheetViews>
    <sheetView workbookViewId="0">
      <selection activeCell="H17" sqref="H17"/>
    </sheetView>
  </sheetViews>
  <sheetFormatPr defaultColWidth="9" defaultRowHeight="15.5" x14ac:dyDescent="0.35"/>
  <cols>
    <col min="1" max="1" width="16.08984375" style="21" bestFit="1" customWidth="1"/>
    <col min="2" max="3" width="14.36328125" style="21" customWidth="1"/>
    <col min="4" max="5" width="5.81640625" style="21" customWidth="1"/>
    <col min="6" max="6" width="9.54296875" style="21" bestFit="1" customWidth="1"/>
    <col min="7" max="7" width="5.81640625" style="21" customWidth="1"/>
    <col min="8" max="8" width="29.08984375" style="21" bestFit="1" customWidth="1"/>
    <col min="9" max="9" width="20.6328125" style="21" bestFit="1" customWidth="1"/>
    <col min="10" max="16384" width="9" style="21"/>
  </cols>
  <sheetData>
    <row r="1" spans="1:9" x14ac:dyDescent="0.35">
      <c r="A1" s="28" t="s">
        <v>0</v>
      </c>
      <c r="B1" s="28"/>
      <c r="C1" s="28"/>
      <c r="D1" s="22"/>
      <c r="E1" s="1"/>
      <c r="F1" s="1"/>
      <c r="G1" s="1"/>
      <c r="H1" s="30" t="s">
        <v>25</v>
      </c>
      <c r="I1" s="30"/>
    </row>
    <row r="2" spans="1:9" x14ac:dyDescent="0.35">
      <c r="A2" s="1"/>
      <c r="B2" s="1"/>
      <c r="C2" s="1"/>
      <c r="D2" s="1"/>
      <c r="E2" s="1"/>
      <c r="F2" s="1"/>
      <c r="G2" s="1"/>
      <c r="H2" s="2" t="s">
        <v>19</v>
      </c>
      <c r="I2" s="2" t="s">
        <v>27</v>
      </c>
    </row>
    <row r="3" spans="1:9" ht="16" thickBot="1" x14ac:dyDescent="0.4">
      <c r="A3" s="1"/>
      <c r="B3" s="20" t="s">
        <v>1</v>
      </c>
      <c r="C3" s="20" t="s">
        <v>2</v>
      </c>
      <c r="D3" s="1"/>
      <c r="E3" s="1"/>
      <c r="F3" s="1"/>
      <c r="G3" s="1"/>
      <c r="H3" s="2" t="s">
        <v>13</v>
      </c>
      <c r="I3" s="2" t="s">
        <v>28</v>
      </c>
    </row>
    <row r="4" spans="1:9" ht="16" thickBot="1" x14ac:dyDescent="0.4">
      <c r="A4" s="20" t="s">
        <v>8</v>
      </c>
      <c r="B4" s="4">
        <v>3000</v>
      </c>
      <c r="C4" s="5">
        <v>5000</v>
      </c>
      <c r="D4" s="1"/>
      <c r="E4" s="1"/>
      <c r="F4" s="1"/>
      <c r="G4" s="1"/>
      <c r="H4" s="2" t="s">
        <v>14</v>
      </c>
      <c r="I4" s="2" t="s">
        <v>29</v>
      </c>
    </row>
    <row r="5" spans="1:9" x14ac:dyDescent="0.35">
      <c r="A5" s="6"/>
      <c r="B5" s="6"/>
      <c r="C5" s="6"/>
      <c r="D5" s="20" t="s">
        <v>7</v>
      </c>
      <c r="E5" s="1"/>
      <c r="F5" s="20" t="s">
        <v>7</v>
      </c>
      <c r="G5" s="1"/>
      <c r="H5" s="2" t="s">
        <v>15</v>
      </c>
      <c r="I5" s="2" t="s">
        <v>30</v>
      </c>
    </row>
    <row r="6" spans="1:9" ht="16" thickBot="1" x14ac:dyDescent="0.4">
      <c r="A6" s="6"/>
      <c r="B6" s="29" t="s">
        <v>3</v>
      </c>
      <c r="C6" s="29"/>
      <c r="D6" s="20" t="s">
        <v>10</v>
      </c>
      <c r="E6" s="1"/>
      <c r="F6" s="20" t="s">
        <v>9</v>
      </c>
      <c r="G6" s="1"/>
      <c r="H6" s="2" t="s">
        <v>16</v>
      </c>
      <c r="I6" s="2" t="s">
        <v>31</v>
      </c>
    </row>
    <row r="7" spans="1:9" x14ac:dyDescent="0.35">
      <c r="A7" s="20" t="s">
        <v>4</v>
      </c>
      <c r="B7" s="8">
        <v>1</v>
      </c>
      <c r="C7" s="9">
        <v>0</v>
      </c>
      <c r="D7" s="6">
        <f>B7*B$12 + C7*C$12</f>
        <v>3</v>
      </c>
      <c r="E7" s="6" t="s">
        <v>26</v>
      </c>
      <c r="F7" s="10">
        <v>4</v>
      </c>
      <c r="G7" s="1"/>
      <c r="H7" s="2" t="s">
        <v>17</v>
      </c>
      <c r="I7" s="2" t="s">
        <v>32</v>
      </c>
    </row>
    <row r="8" spans="1:9" x14ac:dyDescent="0.35">
      <c r="A8" s="20" t="s">
        <v>5</v>
      </c>
      <c r="B8" s="11">
        <v>0</v>
      </c>
      <c r="C8" s="25">
        <v>2.5</v>
      </c>
      <c r="D8" s="6">
        <f>B8*B$12 + C8*C$12</f>
        <v>10</v>
      </c>
      <c r="E8" s="6" t="s">
        <v>26</v>
      </c>
      <c r="F8" s="12">
        <v>12</v>
      </c>
      <c r="G8" s="1"/>
      <c r="H8" s="1"/>
      <c r="I8" s="1"/>
    </row>
    <row r="9" spans="1:9" ht="16" thickBot="1" x14ac:dyDescent="0.4">
      <c r="A9" s="20" t="s">
        <v>6</v>
      </c>
      <c r="B9" s="13">
        <v>3</v>
      </c>
      <c r="C9" s="14">
        <v>2</v>
      </c>
      <c r="D9" s="6">
        <f>B9*B$12 + C9*C$12</f>
        <v>17</v>
      </c>
      <c r="E9" s="6" t="s">
        <v>26</v>
      </c>
      <c r="F9" s="15">
        <v>18</v>
      </c>
      <c r="G9" s="1"/>
      <c r="H9" s="1"/>
      <c r="I9" s="1"/>
    </row>
    <row r="10" spans="1:9" x14ac:dyDescent="0.35">
      <c r="A10" s="1"/>
      <c r="B10" s="16"/>
      <c r="C10" s="16"/>
      <c r="D10" s="1"/>
      <c r="E10" s="1"/>
      <c r="F10" s="1"/>
      <c r="G10" s="1"/>
      <c r="H10" s="1"/>
      <c r="I10" s="1"/>
    </row>
    <row r="11" spans="1:9" ht="16" thickBot="1" x14ac:dyDescent="0.4">
      <c r="A11" s="1"/>
      <c r="B11" s="20" t="s">
        <v>1</v>
      </c>
      <c r="C11" s="20" t="s">
        <v>2</v>
      </c>
      <c r="D11" s="1"/>
      <c r="E11" s="1"/>
      <c r="F11" s="20" t="s">
        <v>12</v>
      </c>
      <c r="G11" s="1"/>
      <c r="H11" s="1"/>
      <c r="I11" s="1"/>
    </row>
    <row r="12" spans="1:9" ht="16.5" thickTop="1" thickBot="1" x14ac:dyDescent="0.4">
      <c r="A12" s="20" t="s">
        <v>11</v>
      </c>
      <c r="B12" s="26">
        <v>3</v>
      </c>
      <c r="C12" s="27">
        <v>4</v>
      </c>
      <c r="D12" s="1"/>
      <c r="E12" s="1"/>
      <c r="F12" s="19">
        <f>SUMPRODUCT(Profit_per_batch, Batches_produced)</f>
        <v>29000</v>
      </c>
      <c r="G12" s="1"/>
      <c r="H12" s="1"/>
      <c r="I12" s="1"/>
    </row>
  </sheetData>
  <mergeCells count="3">
    <mergeCell ref="A1:C1"/>
    <mergeCell ref="H1:I1"/>
    <mergeCell ref="B6:C6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Exercise</vt:lpstr>
      <vt:lpstr>Data</vt:lpstr>
      <vt:lpstr>Model</vt:lpstr>
      <vt:lpstr>Solution</vt:lpstr>
      <vt:lpstr>Solution!Batches_produced</vt:lpstr>
      <vt:lpstr>Batches_produced</vt:lpstr>
      <vt:lpstr>Solution!Hours_available</vt:lpstr>
      <vt:lpstr>Hours_available</vt:lpstr>
      <vt:lpstr>Solution!Hours_used</vt:lpstr>
      <vt:lpstr>Hours_used</vt:lpstr>
      <vt:lpstr>Solution!Hours_used_per_batch_produced</vt:lpstr>
      <vt:lpstr>Hours_used_per_batch_produced</vt:lpstr>
      <vt:lpstr>Solution!Profit_per_batch</vt:lpstr>
      <vt:lpstr>Profit_per_batch</vt:lpstr>
      <vt:lpstr>Solution!Total_profit</vt:lpstr>
      <vt:lpstr>Total_profit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2025-11-25T16:26:49Z</dcterms:modified>
</cp:coreProperties>
</file>